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analysis\"/>
    </mc:Choice>
  </mc:AlternateContent>
  <xr:revisionPtr revIDLastSave="0" documentId="13_ncr:1_{C4D3C80B-ECC3-47E1-95F0-BB30F568D089}" xr6:coauthVersionLast="47" xr6:coauthVersionMax="47" xr10:uidLastSave="{00000000-0000-0000-0000-000000000000}"/>
  <bookViews>
    <workbookView xWindow="-110" yWindow="490" windowWidth="25820" windowHeight="14020" activeTab="1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O458" i="1"/>
  <c r="N458" i="1" s="1"/>
  <c r="O457" i="1"/>
  <c r="N457" i="1" s="1"/>
  <c r="O456" i="1"/>
  <c r="O455" i="1"/>
  <c r="O454" i="1"/>
  <c r="O453" i="1"/>
  <c r="O452" i="1"/>
  <c r="N452" i="1" s="1"/>
  <c r="O451" i="1"/>
  <c r="O450" i="1"/>
  <c r="N450" i="1" s="1"/>
  <c r="O449" i="1"/>
  <c r="N449" i="1" s="1"/>
  <c r="O448" i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O436" i="1"/>
  <c r="N436" i="1" s="1"/>
  <c r="O435" i="1"/>
  <c r="O434" i="1"/>
  <c r="N434" i="1" s="1"/>
  <c r="O433" i="1"/>
  <c r="O432" i="1"/>
  <c r="O431" i="1"/>
  <c r="O430" i="1"/>
  <c r="O429" i="1"/>
  <c r="O428" i="1"/>
  <c r="N428" i="1" s="1"/>
  <c r="O427" i="1"/>
  <c r="O426" i="1"/>
  <c r="N426" i="1" s="1"/>
  <c r="O425" i="1"/>
  <c r="N425" i="1" s="1"/>
  <c r="O424" i="1"/>
  <c r="O423" i="1"/>
  <c r="O422" i="1"/>
  <c r="O421" i="1"/>
  <c r="O420" i="1"/>
  <c r="N420" i="1" s="1"/>
  <c r="O419" i="1"/>
  <c r="O418" i="1"/>
  <c r="N418" i="1" s="1"/>
  <c r="O417" i="1"/>
  <c r="N417" i="1" s="1"/>
  <c r="O416" i="1"/>
  <c r="O415" i="1"/>
  <c r="O414" i="1"/>
  <c r="O413" i="1"/>
  <c r="O412" i="1"/>
  <c r="N412" i="1" s="1"/>
  <c r="O411" i="1"/>
  <c r="O410" i="1"/>
  <c r="N410" i="1" s="1"/>
  <c r="O409" i="1"/>
  <c r="N409" i="1" s="1"/>
  <c r="O408" i="1"/>
  <c r="O407" i="1"/>
  <c r="O406" i="1"/>
  <c r="O405" i="1"/>
  <c r="O404" i="1"/>
  <c r="N404" i="1" s="1"/>
  <c r="O403" i="1"/>
  <c r="O402" i="1"/>
  <c r="N402" i="1" s="1"/>
  <c r="O401" i="1"/>
  <c r="N401" i="1" s="1"/>
  <c r="O400" i="1"/>
  <c r="O399" i="1"/>
  <c r="O398" i="1"/>
  <c r="O397" i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O378" i="1"/>
  <c r="N378" i="1" s="1"/>
  <c r="O377" i="1"/>
  <c r="N377" i="1" s="1"/>
  <c r="O376" i="1"/>
  <c r="O375" i="1"/>
  <c r="O374" i="1"/>
  <c r="O373" i="1"/>
  <c r="O372" i="1"/>
  <c r="N372" i="1" s="1"/>
  <c r="O371" i="1"/>
  <c r="O370" i="1"/>
  <c r="N370" i="1" s="1"/>
  <c r="O369" i="1"/>
  <c r="N369" i="1" s="1"/>
  <c r="O368" i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O351" i="1"/>
  <c r="O350" i="1"/>
  <c r="O349" i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O338" i="1"/>
  <c r="N338" i="1" s="1"/>
  <c r="O337" i="1"/>
  <c r="N337" i="1" s="1"/>
  <c r="O336" i="1"/>
  <c r="O335" i="1"/>
  <c r="O334" i="1"/>
  <c r="O333" i="1"/>
  <c r="O332" i="1"/>
  <c r="N332" i="1" s="1"/>
  <c r="O331" i="1"/>
  <c r="O330" i="1"/>
  <c r="N330" i="1" s="1"/>
  <c r="O329" i="1"/>
  <c r="N329" i="1" s="1"/>
  <c r="O328" i="1"/>
  <c r="O327" i="1"/>
  <c r="O326" i="1"/>
  <c r="O325" i="1"/>
  <c r="O324" i="1"/>
  <c r="N324" i="1" s="1"/>
  <c r="O323" i="1"/>
  <c r="O322" i="1"/>
  <c r="N322" i="1" s="1"/>
  <c r="O321" i="1"/>
  <c r="N321" i="1" s="1"/>
  <c r="O320" i="1"/>
  <c r="O319" i="1"/>
  <c r="O318" i="1"/>
  <c r="O317" i="1"/>
  <c r="O316" i="1"/>
  <c r="N316" i="1" s="1"/>
  <c r="O315" i="1"/>
  <c r="O314" i="1"/>
  <c r="N314" i="1" s="1"/>
  <c r="O313" i="1"/>
  <c r="N313" i="1" s="1"/>
  <c r="O312" i="1"/>
  <c r="O311" i="1"/>
  <c r="O310" i="1"/>
  <c r="O309" i="1"/>
  <c r="O308" i="1"/>
  <c r="N308" i="1" s="1"/>
  <c r="O307" i="1"/>
  <c r="O306" i="1"/>
  <c r="N306" i="1" s="1"/>
  <c r="O305" i="1"/>
  <c r="N305" i="1" s="1"/>
  <c r="O304" i="1"/>
  <c r="O303" i="1"/>
  <c r="O302" i="1"/>
  <c r="O301" i="1"/>
  <c r="N301" i="1" s="1"/>
  <c r="O300" i="1"/>
  <c r="N300" i="1" s="1"/>
  <c r="O299" i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O103" i="1"/>
  <c r="O102" i="1"/>
  <c r="O101" i="1"/>
  <c r="O100" i="1"/>
  <c r="N100" i="1" s="1"/>
  <c r="O99" i="1"/>
  <c r="N99" i="1" s="1"/>
  <c r="O98" i="1"/>
  <c r="O97" i="1"/>
  <c r="N97" i="1" s="1"/>
  <c r="O96" i="1"/>
  <c r="O95" i="1"/>
  <c r="O94" i="1"/>
  <c r="O93" i="1"/>
  <c r="O92" i="1"/>
  <c r="N92" i="1" s="1"/>
  <c r="O91" i="1"/>
  <c r="O90" i="1"/>
  <c r="N90" i="1" s="1"/>
  <c r="O89" i="1"/>
  <c r="N89" i="1" s="1"/>
  <c r="O88" i="1"/>
  <c r="N88" i="1" s="1"/>
  <c r="O87" i="1"/>
  <c r="O86" i="1"/>
  <c r="O85" i="1"/>
  <c r="O84" i="1"/>
  <c r="N84" i="1" s="1"/>
  <c r="O83" i="1"/>
  <c r="N83" i="1" s="1"/>
  <c r="O82" i="1"/>
  <c r="N82" i="1" s="1"/>
  <c r="O81" i="1"/>
  <c r="N81" i="1" s="1"/>
  <c r="O80" i="1"/>
  <c r="O79" i="1"/>
  <c r="O78" i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O61" i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O39" i="1"/>
  <c r="O38" i="1"/>
  <c r="O37" i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9" i="1"/>
  <c r="N451" i="1"/>
  <c r="N435" i="1"/>
  <c r="N427" i="1"/>
  <c r="N411" i="1"/>
  <c r="N403" i="1"/>
  <c r="N395" i="1"/>
  <c r="N387" i="1"/>
  <c r="N379" i="1"/>
  <c r="N363" i="1"/>
  <c r="N355" i="1"/>
  <c r="N339" i="1"/>
  <c r="N331" i="1"/>
  <c r="N323" i="1"/>
  <c r="N315" i="1"/>
  <c r="N307" i="1"/>
  <c r="N91" i="1"/>
  <c r="N433" i="1"/>
  <c r="N353" i="1"/>
  <c r="N419" i="1"/>
  <c r="N347" i="1"/>
  <c r="N78" i="1"/>
  <c r="N304" i="1"/>
  <c r="N320" i="1"/>
  <c r="N328" i="1"/>
  <c r="N336" i="1"/>
  <c r="N344" i="1"/>
  <c r="N352" i="1"/>
  <c r="N360" i="1"/>
  <c r="N368" i="1"/>
  <c r="N384" i="1"/>
  <c r="N392" i="1"/>
  <c r="N400" i="1"/>
  <c r="N416" i="1"/>
  <c r="N424" i="1"/>
  <c r="N432" i="1"/>
  <c r="N440" i="1"/>
  <c r="N448" i="1"/>
  <c r="N456" i="1"/>
  <c r="N312" i="1"/>
  <c r="N408" i="1"/>
  <c r="N101" i="1"/>
  <c r="N325" i="1"/>
  <c r="N333" i="1"/>
  <c r="N365" i="1"/>
  <c r="N238" i="1"/>
  <c r="N302" i="1"/>
  <c r="N56" i="1"/>
  <c r="P56" i="1" s="1"/>
  <c r="N40" i="1"/>
  <c r="P40" i="1" s="1"/>
  <c r="N46" i="1"/>
  <c r="P46" i="1" s="1"/>
  <c r="N53" i="1"/>
  <c r="N54" i="1"/>
  <c r="P54" i="1" s="1"/>
  <c r="N61" i="1"/>
  <c r="P61" i="1" s="1"/>
  <c r="N62" i="1"/>
  <c r="P62" i="1" s="1"/>
  <c r="N63" i="1"/>
  <c r="P63" i="1" s="1"/>
  <c r="N69" i="1"/>
  <c r="N70" i="1"/>
  <c r="P70" i="1" s="1"/>
  <c r="N71" i="1"/>
  <c r="P71" i="1" s="1"/>
  <c r="N77" i="1"/>
  <c r="N79" i="1"/>
  <c r="N80" i="1"/>
  <c r="N85" i="1"/>
  <c r="N93" i="1"/>
  <c r="N96" i="1"/>
  <c r="N104" i="1"/>
  <c r="N184" i="1"/>
  <c r="N299" i="1"/>
  <c r="N309" i="1"/>
  <c r="N317" i="1"/>
  <c r="N341" i="1"/>
  <c r="N349" i="1"/>
  <c r="N357" i="1"/>
  <c r="N373" i="1"/>
  <c r="N376" i="1"/>
  <c r="N381" i="1"/>
  <c r="N389" i="1"/>
  <c r="N397" i="1"/>
  <c r="N405" i="1"/>
  <c r="N413" i="1"/>
  <c r="N421" i="1"/>
  <c r="N429" i="1"/>
  <c r="N437" i="1"/>
  <c r="N443" i="1"/>
  <c r="N445" i="1"/>
  <c r="N453" i="1"/>
  <c r="N461" i="1"/>
  <c r="N31" i="1"/>
  <c r="P31" i="1" s="1"/>
  <c r="N37" i="1"/>
  <c r="P37" i="1" s="1"/>
  <c r="N38" i="1"/>
  <c r="P38" i="1" s="1"/>
  <c r="N39" i="1"/>
  <c r="P39" i="1" s="1"/>
  <c r="N45" i="1"/>
  <c r="P45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423" i="1"/>
  <c r="P359" i="1"/>
  <c r="P431" i="1"/>
  <c r="P439" i="1"/>
  <c r="P429" i="1"/>
  <c r="P365" i="1"/>
  <c r="P311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<sst xmlns="http://schemas.openxmlformats.org/spreadsheetml/2006/main" count="2406" uniqueCount="175">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</sst>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3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1.png"/><Relationship Id="rId12" Type="http://schemas.openxmlformats.org/officeDocument/2006/relationships/image" Target="../media/image32.jpeg"/><Relationship Id="rId17" Type="http://schemas.openxmlformats.org/officeDocument/2006/relationships/image" Target="../media/image34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5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567278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33444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555989</xdr:colOff>
      <xdr:row>0</xdr:row>
      <xdr:rowOff>566885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346617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216881</xdr:colOff>
      <xdr:row>0</xdr:row>
      <xdr:rowOff>580280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372096</xdr:colOff>
      <xdr:row>0</xdr:row>
      <xdr:rowOff>566885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578960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203396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604279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4889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580398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350370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12935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578891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369731</xdr:colOff>
      <xdr:row>0</xdr:row>
      <xdr:rowOff>584121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582188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539984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613105</xdr:colOff>
      <xdr:row>0</xdr:row>
      <xdr:rowOff>578802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582448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561399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579206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200299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199513</xdr:colOff>
      <xdr:row>0</xdr:row>
      <xdr:rowOff>578348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577850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428991</xdr:colOff>
      <xdr:row>0</xdr:row>
      <xdr:rowOff>597419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247721</xdr:colOff>
      <xdr:row>0</xdr:row>
      <xdr:rowOff>328682</xdr:rowOff>
    </xdr:from>
    <xdr:to>
      <xdr:col>1</xdr:col>
      <xdr:colOff>645575</xdr:colOff>
      <xdr:row>0</xdr:row>
      <xdr:rowOff>725597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721" y="328682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20034</xdr:colOff>
      <xdr:row>0</xdr:row>
      <xdr:rowOff>329048</xdr:rowOff>
    </xdr:from>
    <xdr:to>
      <xdr:col>2</xdr:col>
      <xdr:colOff>411363</xdr:colOff>
      <xdr:row>0</xdr:row>
      <xdr:rowOff>725231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457" y="329048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445245</xdr:colOff>
      <xdr:row>0</xdr:row>
      <xdr:rowOff>325928</xdr:rowOff>
    </xdr:from>
    <xdr:to>
      <xdr:col>3</xdr:col>
      <xdr:colOff>195171</xdr:colOff>
      <xdr:row>0</xdr:row>
      <xdr:rowOff>728350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668" y="325928"/>
          <a:ext cx="409349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446500</xdr:colOff>
      <xdr:row>0</xdr:row>
      <xdr:rowOff>326338</xdr:rowOff>
    </xdr:from>
    <xdr:to>
      <xdr:col>5</xdr:col>
      <xdr:colOff>204836</xdr:colOff>
      <xdr:row>0</xdr:row>
      <xdr:rowOff>747478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4769" y="326338"/>
          <a:ext cx="417759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229053</xdr:colOff>
      <xdr:row>0</xdr:row>
      <xdr:rowOff>319278</xdr:rowOff>
    </xdr:from>
    <xdr:to>
      <xdr:col>3</xdr:col>
      <xdr:colOff>624048</xdr:colOff>
      <xdr:row>0</xdr:row>
      <xdr:rowOff>715462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7899" y="319278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245113</xdr:colOff>
      <xdr:row>0</xdr:row>
      <xdr:rowOff>356875</xdr:rowOff>
    </xdr:from>
    <xdr:to>
      <xdr:col>10</xdr:col>
      <xdr:colOff>646171</xdr:colOff>
      <xdr:row>0</xdr:row>
      <xdr:rowOff>775556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9421" y="356875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355235</xdr:rowOff>
    </xdr:from>
    <xdr:to>
      <xdr:col>10</xdr:col>
      <xdr:colOff>383286</xdr:colOff>
      <xdr:row>0</xdr:row>
      <xdr:rowOff>757658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253" y="355235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238718</xdr:colOff>
      <xdr:row>0</xdr:row>
      <xdr:rowOff>348791</xdr:rowOff>
    </xdr:from>
    <xdr:to>
      <xdr:col>5</xdr:col>
      <xdr:colOff>643413</xdr:colOff>
      <xdr:row>0</xdr:row>
      <xdr:rowOff>754334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410" y="348791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347170</xdr:rowOff>
    </xdr:from>
    <xdr:to>
      <xdr:col>10</xdr:col>
      <xdr:colOff>399878</xdr:colOff>
      <xdr:row>0</xdr:row>
      <xdr:rowOff>765723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8493" y="347170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633709</xdr:colOff>
      <xdr:row>0</xdr:row>
      <xdr:rowOff>337414</xdr:rowOff>
    </xdr:from>
    <xdr:to>
      <xdr:col>8</xdr:col>
      <xdr:colOff>410043</xdr:colOff>
      <xdr:row>0</xdr:row>
      <xdr:rowOff>765711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0247" y="337414"/>
          <a:ext cx="435758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20630</xdr:colOff>
      <xdr:row>0</xdr:row>
      <xdr:rowOff>366415</xdr:rowOff>
    </xdr:from>
    <xdr:to>
      <xdr:col>11</xdr:col>
      <xdr:colOff>436253</xdr:colOff>
      <xdr:row>0</xdr:row>
      <xdr:rowOff>785555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4361" y="366415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439411</xdr:colOff>
      <xdr:row>0</xdr:row>
      <xdr:rowOff>341739</xdr:rowOff>
    </xdr:from>
    <xdr:to>
      <xdr:col>7</xdr:col>
      <xdr:colOff>181397</xdr:colOff>
      <xdr:row>0</xdr:row>
      <xdr:rowOff>741847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6526" y="341739"/>
          <a:ext cx="401409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468942</xdr:colOff>
      <xdr:row>0</xdr:row>
      <xdr:rowOff>328584</xdr:rowOff>
    </xdr:from>
    <xdr:to>
      <xdr:col>10</xdr:col>
      <xdr:colOff>19727</xdr:colOff>
      <xdr:row>0</xdr:row>
      <xdr:rowOff>764771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4365" y="328584"/>
          <a:ext cx="420246" cy="436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443925</xdr:colOff>
      <xdr:row>0</xdr:row>
      <xdr:rowOff>352561</xdr:rowOff>
    </xdr:from>
    <xdr:to>
      <xdr:col>8</xdr:col>
      <xdr:colOff>855444</xdr:colOff>
      <xdr:row>0</xdr:row>
      <xdr:rowOff>770102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9887" y="352561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215279</xdr:colOff>
      <xdr:row>0</xdr:row>
      <xdr:rowOff>345267</xdr:rowOff>
    </xdr:from>
    <xdr:to>
      <xdr:col>7</xdr:col>
      <xdr:colOff>599827</xdr:colOff>
      <xdr:row>0</xdr:row>
      <xdr:rowOff>748090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1817" y="345267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657930</xdr:colOff>
      <xdr:row>0</xdr:row>
      <xdr:rowOff>326228</xdr:rowOff>
    </xdr:from>
    <xdr:to>
      <xdr:col>4</xdr:col>
      <xdr:colOff>412618</xdr:colOff>
      <xdr:row>0</xdr:row>
      <xdr:rowOff>747589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76776" y="326228"/>
          <a:ext cx="414111" cy="421361"/>
        </a:xfrm>
        <a:prstGeom prst="rect">
          <a:avLst/>
        </a:prstGeom>
      </xdr:spPr>
    </xdr:pic>
    <xdr:clientData/>
  </xdr:twoCellAnchor>
  <xdr:twoCellAnchor editAs="oneCell">
    <xdr:from>
      <xdr:col>6</xdr:col>
      <xdr:colOff>17872</xdr:colOff>
      <xdr:row>0</xdr:row>
      <xdr:rowOff>348813</xdr:rowOff>
    </xdr:from>
    <xdr:to>
      <xdr:col>6</xdr:col>
      <xdr:colOff>405529</xdr:colOff>
      <xdr:row>0</xdr:row>
      <xdr:rowOff>734774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987" y="348813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241683</xdr:colOff>
      <xdr:row>0</xdr:row>
      <xdr:rowOff>381038</xdr:rowOff>
    </xdr:from>
    <xdr:to>
      <xdr:col>12</xdr:col>
      <xdr:colOff>648414</xdr:colOff>
      <xdr:row>0</xdr:row>
      <xdr:rowOff>780705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4837" y="381038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441698</xdr:colOff>
      <xdr:row>0</xdr:row>
      <xdr:rowOff>396761</xdr:rowOff>
    </xdr:from>
    <xdr:to>
      <xdr:col>14</xdr:col>
      <xdr:colOff>185813</xdr:colOff>
      <xdr:row>0</xdr:row>
      <xdr:rowOff>798533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34275" y="396761"/>
          <a:ext cx="403538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637872</xdr:colOff>
      <xdr:row>0</xdr:row>
      <xdr:rowOff>813188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11</xdr:col>
      <xdr:colOff>470135</xdr:colOff>
      <xdr:row>0</xdr:row>
      <xdr:rowOff>368997</xdr:rowOff>
    </xdr:from>
    <xdr:to>
      <xdr:col>12</xdr:col>
      <xdr:colOff>124762</xdr:colOff>
      <xdr:row>0</xdr:row>
      <xdr:rowOff>773205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66" y="368997"/>
          <a:ext cx="397089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22873</xdr:colOff>
      <xdr:row>0</xdr:row>
      <xdr:rowOff>383882</xdr:rowOff>
    </xdr:from>
    <xdr:to>
      <xdr:col>13</xdr:col>
      <xdr:colOff>407816</xdr:colOff>
      <xdr:row>0</xdr:row>
      <xdr:rowOff>795215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5450" y="383882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908538</xdr:colOff>
      <xdr:row>0</xdr:row>
      <xdr:rowOff>332155</xdr:rowOff>
    </xdr:from>
    <xdr:to>
      <xdr:col>9</xdr:col>
      <xdr:colOff>382465</xdr:colOff>
      <xdr:row>0</xdr:row>
      <xdr:rowOff>783005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332155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19538</xdr:colOff>
      <xdr:row>0</xdr:row>
      <xdr:rowOff>415193</xdr:rowOff>
    </xdr:from>
    <xdr:to>
      <xdr:col>15</xdr:col>
      <xdr:colOff>434733</xdr:colOff>
      <xdr:row>0</xdr:row>
      <xdr:rowOff>840372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1461" y="415193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791308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zoomScaleNormal="100" workbookViewId="0">
      <pane xSplit="1" ySplit="2" topLeftCell="B283" activePane="bottomRight" state="frozen"/>
      <selection pane="topRight" activeCell="B1" sqref="B1"/>
      <selection pane="bottomLeft" activeCell="A3" sqref="A3"/>
      <selection pane="bottomRight" activeCell="C308" sqref="C308"/>
    </sheetView>
  </sheetViews>
  <sheetFormatPr defaultRowHeight="15" x14ac:dyDescent="0.55000000000000004"/>
  <cols>
    <col min="1" max="1" width="3.33203125" style="1" customWidth="1"/>
    <col min="2" max="2" width="9.6640625" style="2" bestFit="1" customWidth="1"/>
    <col min="3" max="3" width="6.75" style="3" bestFit="1" customWidth="1"/>
    <col min="4" max="4" width="10.5" style="4" hidden="1" customWidth="1"/>
    <col min="5" max="5" width="3.33203125" style="5" customWidth="1"/>
    <col min="6" max="6" width="5.1640625" style="6" bestFit="1" customWidth="1"/>
    <col min="7" max="7" width="6.25" style="6" customWidth="1"/>
    <col min="8" max="8" width="5.75" style="6" customWidth="1"/>
    <col min="9" max="9" width="7.25" style="6" customWidth="1"/>
    <col min="10" max="10" width="7.33203125" style="6" customWidth="1"/>
    <col min="11" max="11" width="5.58203125" style="6" customWidth="1"/>
    <col min="12" max="12" width="4.6640625" style="6" bestFit="1" customWidth="1"/>
    <col min="13" max="13" width="5.58203125" style="6" bestFit="1" customWidth="1"/>
    <col min="14" max="14" width="3.4140625" style="6" bestFit="1" customWidth="1"/>
    <col min="15" max="15" width="4.414062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6640625" style="1"/>
  </cols>
  <sheetData>
    <row r="1" spans="2:32" ht="54.75" customHeight="1" x14ac:dyDescent="0.55000000000000004">
      <c r="AA1" s="22"/>
      <c r="AC1" s="22"/>
      <c r="AE1" s="22"/>
    </row>
    <row r="2" spans="2:32" x14ac:dyDescent="0.5500000000000000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5500000000000000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5500000000000000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5500000000000000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5500000000000000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5500000000000000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5500000000000000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5500000000000000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5500000000000000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5500000000000000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5500000000000000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5500000000000000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5500000000000000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5500000000000000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5500000000000000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5500000000000000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5500000000000000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5500000000000000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5500000000000000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5500000000000000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5500000000000000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5500000000000000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5500000000000000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5500000000000000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5500000000000000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5500000000000000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5500000000000000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5500000000000000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5500000000000000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5500000000000000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5500000000000000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5500000000000000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5500000000000000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5500000000000000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5500000000000000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5500000000000000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5500000000000000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5500000000000000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5500000000000000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5500000000000000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5500000000000000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5500000000000000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5500000000000000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5500000000000000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5500000000000000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5500000000000000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5500000000000000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5500000000000000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5500000000000000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5500000000000000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5500000000000000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5500000000000000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5500000000000000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5500000000000000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5500000000000000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5500000000000000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5500000000000000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5500000000000000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5500000000000000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5500000000000000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5500000000000000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5500000000000000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5500000000000000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5500000000000000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5500000000000000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5500000000000000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5500000000000000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5500000000000000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5500000000000000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5500000000000000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5500000000000000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5500000000000000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5500000000000000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5500000000000000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5500000000000000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5500000000000000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5500000000000000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5500000000000000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5500000000000000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5500000000000000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5500000000000000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5500000000000000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5500000000000000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5500000000000000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5500000000000000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5500000000000000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5500000000000000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5500000000000000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5500000000000000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5500000000000000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5500000000000000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5500000000000000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5500000000000000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5500000000000000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5500000000000000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5500000000000000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5500000000000000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5500000000000000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5500000000000000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5500000000000000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5500000000000000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5500000000000000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5500000000000000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5500000000000000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5500000000000000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5500000000000000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5500000000000000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5500000000000000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5500000000000000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5500000000000000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5500000000000000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5500000000000000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5500000000000000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5500000000000000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5500000000000000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5500000000000000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5500000000000000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5500000000000000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5500000000000000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5500000000000000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5500000000000000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5500000000000000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5500000000000000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5500000000000000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5500000000000000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5500000000000000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5500000000000000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5500000000000000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5500000000000000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5500000000000000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5500000000000000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5500000000000000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5500000000000000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5500000000000000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5500000000000000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5500000000000000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5500000000000000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5500000000000000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5500000000000000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5500000000000000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5500000000000000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5500000000000000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5500000000000000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5500000000000000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5500000000000000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5500000000000000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5500000000000000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5500000000000000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5500000000000000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5500000000000000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5500000000000000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5500000000000000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5500000000000000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5500000000000000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5500000000000000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5500000000000000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5500000000000000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5500000000000000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5500000000000000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5500000000000000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5500000000000000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5500000000000000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5500000000000000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5500000000000000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5500000000000000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5500000000000000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5500000000000000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5500000000000000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5500000000000000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5500000000000000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5500000000000000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5500000000000000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5500000000000000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5500000000000000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5500000000000000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5500000000000000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5500000000000000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5500000000000000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5500000000000000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5500000000000000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5500000000000000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5500000000000000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5500000000000000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5500000000000000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5500000000000000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5500000000000000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5500000000000000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5500000000000000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5500000000000000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5500000000000000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5500000000000000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5500000000000000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5500000000000000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5500000000000000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5500000000000000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5500000000000000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5500000000000000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5500000000000000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5500000000000000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5500000000000000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5500000000000000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5500000000000000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5500000000000000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5500000000000000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5500000000000000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5500000000000000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5500000000000000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5500000000000000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5500000000000000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5500000000000000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5500000000000000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5500000000000000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5500000000000000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5500000000000000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5500000000000000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5500000000000000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5500000000000000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5500000000000000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5500000000000000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5500000000000000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5500000000000000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5500000000000000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5500000000000000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5500000000000000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5500000000000000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5500000000000000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5500000000000000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5500000000000000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5500000000000000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5500000000000000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5500000000000000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5500000000000000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5500000000000000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5500000000000000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5500000000000000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5500000000000000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5500000000000000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5500000000000000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5500000000000000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4" x14ac:dyDescent="0.5500000000000000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8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  <c r="AG241" s="1" t="s">
        <v>42</v>
      </c>
      <c r="AH241" s="1" t="s">
        <v>41</v>
      </c>
    </row>
    <row r="242" spans="2:34" x14ac:dyDescent="0.5500000000000000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4" x14ac:dyDescent="0.5500000000000000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4" x14ac:dyDescent="0.5500000000000000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4" x14ac:dyDescent="0.5500000000000000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4" x14ac:dyDescent="0.5500000000000000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4" x14ac:dyDescent="0.5500000000000000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4" x14ac:dyDescent="0.5500000000000000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4" x14ac:dyDescent="0.5500000000000000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4" x14ac:dyDescent="0.5500000000000000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4" x14ac:dyDescent="0.5500000000000000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4" x14ac:dyDescent="0.5500000000000000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4" x14ac:dyDescent="0.5500000000000000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4" x14ac:dyDescent="0.5500000000000000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4" x14ac:dyDescent="0.5500000000000000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4" x14ac:dyDescent="0.5500000000000000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5500000000000000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5500000000000000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5500000000000000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5500000000000000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5500000000000000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5500000000000000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5500000000000000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5500000000000000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5500000000000000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5500000000000000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5500000000000000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5500000000000000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5500000000000000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5500000000000000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5500000000000000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5500000000000000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5500000000000000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5500000000000000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5500000000000000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5500000000000000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5500000000000000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5500000000000000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5500000000000000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5500000000000000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5500000000000000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5500000000000000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5500000000000000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5500000000000000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" x14ac:dyDescent="0.5500000000000000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5500000000000000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5500000000000000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5500000000000000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5500000000000000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5500000000000000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5500000000000000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5500000000000000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5500000000000000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5500000000000000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5500000000000000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5500000000000000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1" t="s">
        <v>111</v>
      </c>
      <c r="X296" s="26" t="s">
        <v>41</v>
      </c>
      <c r="Y296" s="26"/>
      <c r="AA296" s="26"/>
      <c r="AC296" s="26"/>
      <c r="AE296" s="26"/>
    </row>
    <row r="297" spans="2:31" x14ac:dyDescent="0.5500000000000000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K297" s="15"/>
      <c r="M297" s="15"/>
      <c r="N297" s="6">
        <f t="shared" si="17"/>
        <v>0</v>
      </c>
      <c r="O297" s="6">
        <f t="shared" si="18"/>
        <v>0</v>
      </c>
      <c r="P297" s="6" t="str">
        <f t="shared" si="16"/>
        <v>引</v>
      </c>
      <c r="Q297" s="26"/>
      <c r="S297" s="26"/>
      <c r="U297" s="26"/>
      <c r="W297" s="26"/>
      <c r="Y297" s="26"/>
      <c r="AA297" s="26"/>
      <c r="AC297" s="26"/>
      <c r="AE297" s="26"/>
    </row>
    <row r="298" spans="2:31" x14ac:dyDescent="0.55000000000000004">
      <c r="D298" s="13">
        <f t="shared" si="14"/>
        <v>0</v>
      </c>
      <c r="E298" s="14">
        <v>296</v>
      </c>
      <c r="F298" s="6">
        <v>12</v>
      </c>
      <c r="G298" s="6">
        <f>VLOOKUP(F298,監督フォーメーション!$A$2:$C$15,3,FALSE)</f>
        <v>4213</v>
      </c>
      <c r="K298" s="15"/>
      <c r="M298" s="15"/>
      <c r="N298" s="6">
        <f t="shared" si="17"/>
        <v>0</v>
      </c>
      <c r="O298" s="6">
        <f t="shared" si="18"/>
        <v>0</v>
      </c>
      <c r="P298" s="6" t="str">
        <f t="shared" si="16"/>
        <v>引</v>
      </c>
      <c r="Q298" s="26"/>
      <c r="S298" s="26"/>
      <c r="U298" s="26"/>
      <c r="W298" s="26"/>
      <c r="Y298" s="26"/>
      <c r="AA298" s="26"/>
      <c r="AC298" s="26"/>
      <c r="AE298" s="26"/>
    </row>
    <row r="299" spans="2:31" x14ac:dyDescent="0.55000000000000004">
      <c r="D299" s="13">
        <f t="shared" ref="D299:D362" si="19">B299+C299</f>
        <v>0</v>
      </c>
      <c r="E299" s="14">
        <v>297</v>
      </c>
      <c r="F299" s="6">
        <v>12</v>
      </c>
      <c r="G299" s="6">
        <f>VLOOKUP(F299,監督フォーメーション!$A$2:$C$15,3,FALSE)</f>
        <v>4213</v>
      </c>
      <c r="K299" s="15"/>
      <c r="M299" s="15"/>
      <c r="N299" s="6">
        <f t="shared" si="17"/>
        <v>0</v>
      </c>
      <c r="O299" s="6">
        <f t="shared" si="18"/>
        <v>0</v>
      </c>
      <c r="P299" s="6" t="str">
        <f t="shared" si="16"/>
        <v>引</v>
      </c>
      <c r="Q299" s="26"/>
      <c r="S299" s="26"/>
      <c r="U299" s="26"/>
      <c r="W299" s="26"/>
      <c r="Y299" s="26"/>
      <c r="AA299" s="26"/>
      <c r="AC299" s="26"/>
      <c r="AE299" s="26"/>
    </row>
    <row r="300" spans="2:31" x14ac:dyDescent="0.55000000000000004">
      <c r="D300" s="13">
        <f t="shared" si="19"/>
        <v>0</v>
      </c>
      <c r="E300" s="14">
        <v>298</v>
      </c>
      <c r="F300" s="6">
        <v>12</v>
      </c>
      <c r="G300" s="6">
        <f>VLOOKUP(F300,監督フォーメーション!$A$2:$C$15,3,FALSE)</f>
        <v>4213</v>
      </c>
      <c r="K300" s="15"/>
      <c r="M300" s="15"/>
      <c r="N300" s="6">
        <f t="shared" si="17"/>
        <v>0</v>
      </c>
      <c r="O300" s="6">
        <f t="shared" si="18"/>
        <v>0</v>
      </c>
      <c r="P300" s="6" t="str">
        <f t="shared" si="16"/>
        <v>引</v>
      </c>
      <c r="Q300" s="26"/>
      <c r="S300" s="26"/>
      <c r="U300" s="26"/>
      <c r="W300" s="26"/>
      <c r="Y300" s="26"/>
      <c r="AA300" s="26"/>
      <c r="AC300" s="26"/>
      <c r="AE300" s="26"/>
    </row>
    <row r="301" spans="2:31" x14ac:dyDescent="0.55000000000000004">
      <c r="D301" s="13">
        <f t="shared" si="19"/>
        <v>0</v>
      </c>
      <c r="E301" s="14">
        <v>299</v>
      </c>
      <c r="F301" s="6">
        <v>12</v>
      </c>
      <c r="G301" s="6">
        <f>VLOOKUP(F301,監督フォーメーション!$A$2:$C$15,3,FALSE)</f>
        <v>4213</v>
      </c>
      <c r="K301" s="15"/>
      <c r="M301" s="15"/>
      <c r="N301" s="6">
        <f t="shared" si="17"/>
        <v>0</v>
      </c>
      <c r="O301" s="6">
        <f t="shared" si="18"/>
        <v>0</v>
      </c>
      <c r="P301" s="6" t="str">
        <f t="shared" si="16"/>
        <v>引</v>
      </c>
      <c r="Q301" s="26"/>
      <c r="S301" s="26"/>
      <c r="U301" s="26"/>
      <c r="W301" s="26"/>
      <c r="Y301" s="26"/>
      <c r="AA301" s="26"/>
      <c r="AC301" s="26"/>
      <c r="AE301" s="26"/>
    </row>
    <row r="302" spans="2:31" x14ac:dyDescent="0.55000000000000004">
      <c r="D302" s="13">
        <f t="shared" si="19"/>
        <v>0</v>
      </c>
      <c r="E302" s="14">
        <v>300</v>
      </c>
      <c r="F302" s="6">
        <v>12</v>
      </c>
      <c r="G302" s="6">
        <f>VLOOKUP(F302,監督フォーメーション!$A$2:$C$15,3,FALSE)</f>
        <v>4213</v>
      </c>
      <c r="K302" s="15"/>
      <c r="M302" s="15"/>
      <c r="N302" s="6">
        <f t="shared" si="17"/>
        <v>0</v>
      </c>
      <c r="O302" s="6">
        <f t="shared" si="18"/>
        <v>0</v>
      </c>
      <c r="P302" s="6" t="str">
        <f t="shared" si="16"/>
        <v>引</v>
      </c>
      <c r="Q302" s="26"/>
      <c r="S302" s="26"/>
      <c r="U302" s="26"/>
      <c r="W302" s="26"/>
      <c r="Y302" s="26"/>
      <c r="AA302" s="26"/>
      <c r="AC302" s="26"/>
      <c r="AE302" s="26"/>
    </row>
    <row r="303" spans="2:31" x14ac:dyDescent="0.55000000000000004">
      <c r="D303" s="13">
        <f t="shared" si="19"/>
        <v>0</v>
      </c>
      <c r="E303" s="14">
        <v>301</v>
      </c>
      <c r="F303" s="6">
        <v>12</v>
      </c>
      <c r="G303" s="6">
        <f>VLOOKUP(F303,監督フォーメーション!$A$2:$C$15,3,FALSE)</f>
        <v>4213</v>
      </c>
      <c r="K303" s="15"/>
      <c r="M303" s="15"/>
      <c r="N303" s="6">
        <f t="shared" si="17"/>
        <v>0</v>
      </c>
      <c r="O303" s="6">
        <f t="shared" si="18"/>
        <v>0</v>
      </c>
      <c r="P303" s="6" t="str">
        <f t="shared" si="16"/>
        <v>引</v>
      </c>
      <c r="Q303" s="26"/>
      <c r="S303" s="26"/>
      <c r="U303" s="26"/>
      <c r="W303" s="26"/>
      <c r="Y303" s="26"/>
      <c r="AA303" s="26"/>
      <c r="AC303" s="26"/>
      <c r="AE303" s="26"/>
    </row>
    <row r="304" spans="2:31" x14ac:dyDescent="0.55000000000000004">
      <c r="D304" s="13">
        <f t="shared" si="19"/>
        <v>0</v>
      </c>
      <c r="E304" s="14">
        <v>302</v>
      </c>
      <c r="F304" s="6">
        <v>12</v>
      </c>
      <c r="G304" s="6">
        <f>VLOOKUP(F304,監督フォーメーション!$A$2:$C$15,3,FALSE)</f>
        <v>4213</v>
      </c>
      <c r="K304" s="15"/>
      <c r="M304" s="15"/>
      <c r="N304" s="6">
        <f t="shared" si="17"/>
        <v>0</v>
      </c>
      <c r="O304" s="6">
        <f t="shared" si="18"/>
        <v>0</v>
      </c>
      <c r="P304" s="6" t="str">
        <f t="shared" si="16"/>
        <v>引</v>
      </c>
      <c r="Q304" s="26"/>
      <c r="S304" s="26"/>
      <c r="U304" s="26"/>
      <c r="W304" s="26"/>
      <c r="Y304" s="26"/>
      <c r="AA304" s="26"/>
      <c r="AC304" s="26"/>
      <c r="AE304" s="26"/>
    </row>
    <row r="305" spans="4:31" x14ac:dyDescent="0.55000000000000004">
      <c r="D305" s="13">
        <f t="shared" si="19"/>
        <v>0</v>
      </c>
      <c r="E305" s="14">
        <v>303</v>
      </c>
      <c r="F305" s="6">
        <v>12</v>
      </c>
      <c r="G305" s="6">
        <f>VLOOKUP(F305,監督フォーメーション!$A$2:$C$15,3,FALSE)</f>
        <v>4213</v>
      </c>
      <c r="K305" s="15"/>
      <c r="M305" s="15"/>
      <c r="N305" s="6">
        <f t="shared" si="17"/>
        <v>0</v>
      </c>
      <c r="O305" s="6">
        <f t="shared" si="18"/>
        <v>0</v>
      </c>
      <c r="P305" s="6" t="str">
        <f t="shared" si="16"/>
        <v>引</v>
      </c>
      <c r="Q305" s="26"/>
      <c r="S305" s="26"/>
      <c r="U305" s="26"/>
      <c r="W305" s="26"/>
      <c r="Y305" s="26"/>
      <c r="AA305" s="26"/>
      <c r="AC305" s="26"/>
      <c r="AE305" s="26"/>
    </row>
    <row r="306" spans="4:31" x14ac:dyDescent="0.55000000000000004">
      <c r="D306" s="13">
        <f t="shared" si="19"/>
        <v>0</v>
      </c>
      <c r="E306" s="14">
        <v>304</v>
      </c>
      <c r="F306" s="6">
        <v>12</v>
      </c>
      <c r="G306" s="6">
        <f>VLOOKUP(F306,監督フォーメーション!$A$2:$C$15,3,FALSE)</f>
        <v>4213</v>
      </c>
      <c r="K306" s="15"/>
      <c r="M306" s="15"/>
      <c r="N306" s="6">
        <f t="shared" si="17"/>
        <v>0</v>
      </c>
      <c r="O306" s="6">
        <f t="shared" si="18"/>
        <v>0</v>
      </c>
      <c r="P306" s="6" t="str">
        <f t="shared" si="16"/>
        <v>引</v>
      </c>
      <c r="Q306" s="26"/>
      <c r="S306" s="26"/>
      <c r="U306" s="26"/>
      <c r="W306" s="26"/>
      <c r="Y306" s="26"/>
      <c r="AA306" s="26"/>
      <c r="AC306" s="26"/>
      <c r="AE306" s="26"/>
    </row>
    <row r="307" spans="4:31" x14ac:dyDescent="0.55000000000000004">
      <c r="D307" s="13">
        <f t="shared" si="19"/>
        <v>0</v>
      </c>
      <c r="E307" s="14">
        <v>305</v>
      </c>
      <c r="F307" s="6">
        <v>12</v>
      </c>
      <c r="G307" s="6">
        <f>VLOOKUP(F307,監督フォーメーション!$A$2:$C$15,3,FALSE)</f>
        <v>4213</v>
      </c>
      <c r="K307" s="15"/>
      <c r="M307" s="15"/>
      <c r="N307" s="6">
        <f t="shared" si="17"/>
        <v>0</v>
      </c>
      <c r="O307" s="6">
        <f t="shared" si="18"/>
        <v>0</v>
      </c>
      <c r="P307" s="6" t="str">
        <f t="shared" si="16"/>
        <v>引</v>
      </c>
      <c r="Q307" s="26"/>
      <c r="S307" s="26"/>
      <c r="U307" s="26"/>
      <c r="W307" s="26"/>
      <c r="Y307" s="26"/>
      <c r="AA307" s="26"/>
      <c r="AC307" s="26"/>
      <c r="AE307" s="26"/>
    </row>
    <row r="308" spans="4:31" x14ac:dyDescent="0.55000000000000004">
      <c r="D308" s="13">
        <f t="shared" si="19"/>
        <v>0</v>
      </c>
      <c r="E308" s="14">
        <v>306</v>
      </c>
      <c r="F308" s="6">
        <v>12</v>
      </c>
      <c r="G308" s="6">
        <f>VLOOKUP(F308,監督フォーメーション!$A$2:$C$15,3,FALSE)</f>
        <v>4213</v>
      </c>
      <c r="K308" s="15"/>
      <c r="M308" s="15"/>
      <c r="N308" s="6">
        <f t="shared" si="17"/>
        <v>0</v>
      </c>
      <c r="O308" s="6">
        <f t="shared" si="18"/>
        <v>0</v>
      </c>
      <c r="P308" s="6" t="str">
        <f t="shared" si="16"/>
        <v>引</v>
      </c>
      <c r="Q308" s="26"/>
      <c r="S308" s="26"/>
      <c r="U308" s="26"/>
      <c r="W308" s="26"/>
      <c r="Y308" s="26"/>
      <c r="AA308" s="26"/>
      <c r="AC308" s="26"/>
      <c r="AE308" s="26"/>
    </row>
    <row r="309" spans="4:31" x14ac:dyDescent="0.55000000000000004">
      <c r="D309" s="13">
        <f t="shared" si="19"/>
        <v>0</v>
      </c>
      <c r="E309" s="14">
        <v>307</v>
      </c>
      <c r="F309" s="6">
        <v>12</v>
      </c>
      <c r="G309" s="6">
        <f>VLOOKUP(F309,監督フォーメーション!$A$2:$C$15,3,FALSE)</f>
        <v>4213</v>
      </c>
      <c r="K309" s="15"/>
      <c r="M309" s="15"/>
      <c r="N309" s="6">
        <f t="shared" si="17"/>
        <v>0</v>
      </c>
      <c r="O309" s="6">
        <f t="shared" si="18"/>
        <v>0</v>
      </c>
      <c r="P309" s="6" t="str">
        <f t="shared" si="16"/>
        <v>引</v>
      </c>
      <c r="Q309" s="26"/>
      <c r="S309" s="26"/>
      <c r="U309" s="26"/>
      <c r="W309" s="26"/>
      <c r="Y309" s="26"/>
      <c r="AA309" s="26"/>
      <c r="AC309" s="26"/>
      <c r="AE309" s="26"/>
    </row>
    <row r="310" spans="4:31" x14ac:dyDescent="0.55000000000000004">
      <c r="D310" s="13">
        <f t="shared" si="19"/>
        <v>0</v>
      </c>
      <c r="E310" s="14">
        <v>308</v>
      </c>
      <c r="F310" s="6">
        <v>12</v>
      </c>
      <c r="G310" s="6">
        <f>VLOOKUP(F310,監督フォーメーション!$A$2:$C$15,3,FALSE)</f>
        <v>4213</v>
      </c>
      <c r="K310" s="15"/>
      <c r="M310" s="15"/>
      <c r="N310" s="6">
        <f t="shared" si="17"/>
        <v>0</v>
      </c>
      <c r="O310" s="6">
        <f t="shared" si="18"/>
        <v>0</v>
      </c>
      <c r="P310" s="6" t="str">
        <f t="shared" si="16"/>
        <v>引</v>
      </c>
      <c r="Q310" s="26"/>
      <c r="S310" s="26"/>
      <c r="U310" s="26"/>
      <c r="W310" s="26"/>
      <c r="Y310" s="26"/>
      <c r="AA310" s="26"/>
      <c r="AC310" s="26"/>
      <c r="AE310" s="26"/>
    </row>
    <row r="311" spans="4:31" x14ac:dyDescent="0.55000000000000004">
      <c r="D311" s="13">
        <f t="shared" si="19"/>
        <v>0</v>
      </c>
      <c r="E311" s="14">
        <v>309</v>
      </c>
      <c r="F311" s="6">
        <v>12</v>
      </c>
      <c r="G311" s="6">
        <f>VLOOKUP(F311,監督フォーメーション!$A$2:$C$15,3,FALSE)</f>
        <v>4213</v>
      </c>
      <c r="K311" s="15"/>
      <c r="M311" s="15"/>
      <c r="N311" s="6">
        <f t="shared" si="17"/>
        <v>0</v>
      </c>
      <c r="O311" s="6">
        <f t="shared" si="18"/>
        <v>0</v>
      </c>
      <c r="P311" s="6" t="str">
        <f t="shared" si="16"/>
        <v>引</v>
      </c>
      <c r="Q311" s="26"/>
      <c r="S311" s="26"/>
      <c r="U311" s="26"/>
      <c r="W311" s="26"/>
      <c r="Y311" s="26"/>
      <c r="AA311" s="26"/>
      <c r="AC311" s="26"/>
      <c r="AE311" s="26"/>
    </row>
    <row r="312" spans="4:31" x14ac:dyDescent="0.55000000000000004">
      <c r="D312" s="13">
        <f t="shared" si="19"/>
        <v>0</v>
      </c>
      <c r="E312" s="14">
        <v>310</v>
      </c>
      <c r="F312" s="6">
        <v>12</v>
      </c>
      <c r="G312" s="6">
        <f>VLOOKUP(F312,監督フォーメーション!$A$2:$C$15,3,FALSE)</f>
        <v>4213</v>
      </c>
      <c r="K312" s="15"/>
      <c r="M312" s="15"/>
      <c r="N312" s="6">
        <f t="shared" si="17"/>
        <v>0</v>
      </c>
      <c r="O312" s="6">
        <f t="shared" si="18"/>
        <v>0</v>
      </c>
      <c r="P312" s="6" t="str">
        <f t="shared" si="16"/>
        <v>引</v>
      </c>
      <c r="Q312" s="26"/>
      <c r="S312" s="26"/>
      <c r="U312" s="26"/>
      <c r="W312" s="26"/>
      <c r="Y312" s="26"/>
      <c r="AA312" s="26"/>
      <c r="AC312" s="26"/>
      <c r="AE312" s="26"/>
    </row>
    <row r="313" spans="4:31" x14ac:dyDescent="0.55000000000000004">
      <c r="D313" s="13">
        <f t="shared" si="19"/>
        <v>0</v>
      </c>
      <c r="E313" s="14">
        <v>311</v>
      </c>
      <c r="F313" s="6">
        <v>12</v>
      </c>
      <c r="G313" s="6">
        <f>VLOOKUP(F313,監督フォーメーション!$A$2:$C$15,3,FALSE)</f>
        <v>4213</v>
      </c>
      <c r="K313" s="15"/>
      <c r="M313" s="15"/>
      <c r="N313" s="6">
        <f t="shared" si="17"/>
        <v>0</v>
      </c>
      <c r="O313" s="6">
        <f t="shared" si="18"/>
        <v>0</v>
      </c>
      <c r="P313" s="6" t="str">
        <f t="shared" si="16"/>
        <v>引</v>
      </c>
      <c r="Q313" s="26"/>
      <c r="S313" s="26"/>
      <c r="U313" s="26"/>
      <c r="W313" s="26"/>
      <c r="Y313" s="26"/>
      <c r="AA313" s="26"/>
      <c r="AC313" s="26"/>
      <c r="AE313" s="26"/>
    </row>
    <row r="314" spans="4:31" x14ac:dyDescent="0.55000000000000004">
      <c r="D314" s="13">
        <f t="shared" si="19"/>
        <v>0</v>
      </c>
      <c r="E314" s="14">
        <v>312</v>
      </c>
      <c r="F314" s="6">
        <v>12</v>
      </c>
      <c r="G314" s="6">
        <f>VLOOKUP(F314,監督フォーメーション!$A$2:$C$15,3,FALSE)</f>
        <v>4213</v>
      </c>
      <c r="K314" s="15"/>
      <c r="M314" s="15"/>
      <c r="N314" s="6">
        <f t="shared" si="17"/>
        <v>0</v>
      </c>
      <c r="O314" s="6">
        <f t="shared" si="18"/>
        <v>0</v>
      </c>
      <c r="P314" s="6" t="str">
        <f t="shared" si="16"/>
        <v>引</v>
      </c>
      <c r="Q314" s="26"/>
      <c r="S314" s="26"/>
      <c r="U314" s="26"/>
      <c r="W314" s="26"/>
      <c r="Y314" s="26"/>
      <c r="AA314" s="26"/>
      <c r="AC314" s="26"/>
      <c r="AE314" s="26"/>
    </row>
    <row r="315" spans="4:31" x14ac:dyDescent="0.55000000000000004">
      <c r="D315" s="13">
        <f t="shared" si="19"/>
        <v>0</v>
      </c>
      <c r="E315" s="14">
        <v>313</v>
      </c>
      <c r="F315" s="6">
        <v>12</v>
      </c>
      <c r="G315" s="6">
        <f>VLOOKUP(F315,監督フォーメーション!$A$2:$C$15,3,FALSE)</f>
        <v>4213</v>
      </c>
      <c r="K315" s="15"/>
      <c r="M315" s="15"/>
      <c r="N315" s="6">
        <f t="shared" si="17"/>
        <v>0</v>
      </c>
      <c r="O315" s="6">
        <f t="shared" si="18"/>
        <v>0</v>
      </c>
      <c r="P315" s="6" t="str">
        <f t="shared" si="16"/>
        <v>引</v>
      </c>
      <c r="Q315" s="26"/>
      <c r="S315" s="26"/>
      <c r="U315" s="26"/>
      <c r="W315" s="26"/>
      <c r="Y315" s="26"/>
      <c r="AA315" s="26"/>
      <c r="AC315" s="26"/>
      <c r="AE315" s="26"/>
    </row>
    <row r="316" spans="4:31" x14ac:dyDescent="0.55000000000000004">
      <c r="D316" s="13">
        <f t="shared" si="19"/>
        <v>0</v>
      </c>
      <c r="E316" s="14">
        <v>314</v>
      </c>
      <c r="F316" s="6">
        <v>12</v>
      </c>
      <c r="G316" s="6">
        <f>VLOOKUP(F316,監督フォーメーション!$A$2:$C$15,3,FALSE)</f>
        <v>4213</v>
      </c>
      <c r="K316" s="15"/>
      <c r="M316" s="15"/>
      <c r="N316" s="6">
        <f t="shared" si="17"/>
        <v>0</v>
      </c>
      <c r="O316" s="6">
        <f t="shared" si="18"/>
        <v>0</v>
      </c>
      <c r="P316" s="6" t="str">
        <f t="shared" si="16"/>
        <v>引</v>
      </c>
      <c r="Q316" s="26"/>
      <c r="S316" s="26"/>
      <c r="U316" s="26"/>
      <c r="W316" s="26"/>
      <c r="Y316" s="26"/>
      <c r="AA316" s="26"/>
      <c r="AC316" s="26"/>
      <c r="AE316" s="26"/>
    </row>
    <row r="317" spans="4:31" x14ac:dyDescent="0.55000000000000004">
      <c r="D317" s="13">
        <f t="shared" si="19"/>
        <v>0</v>
      </c>
      <c r="E317" s="14">
        <v>315</v>
      </c>
      <c r="F317" s="6">
        <v>12</v>
      </c>
      <c r="G317" s="6">
        <f>VLOOKUP(F317,監督フォーメーション!$A$2:$C$15,3,FALSE)</f>
        <v>4213</v>
      </c>
      <c r="K317" s="15"/>
      <c r="M317" s="15"/>
      <c r="N317" s="6">
        <f t="shared" si="17"/>
        <v>0</v>
      </c>
      <c r="O317" s="6">
        <f t="shared" si="18"/>
        <v>0</v>
      </c>
      <c r="P317" s="6" t="str">
        <f t="shared" si="16"/>
        <v>引</v>
      </c>
      <c r="Q317" s="26"/>
      <c r="S317" s="26"/>
      <c r="U317" s="26"/>
      <c r="W317" s="26"/>
      <c r="Y317" s="26"/>
      <c r="AA317" s="26"/>
      <c r="AC317" s="26"/>
      <c r="AE317" s="26"/>
    </row>
    <row r="318" spans="4:31" x14ac:dyDescent="0.55000000000000004">
      <c r="D318" s="13">
        <f t="shared" si="19"/>
        <v>0</v>
      </c>
      <c r="E318" s="14">
        <v>316</v>
      </c>
      <c r="F318" s="6">
        <v>12</v>
      </c>
      <c r="G318" s="6">
        <f>VLOOKUP(F318,監督フォーメーション!$A$2:$C$15,3,FALSE)</f>
        <v>4213</v>
      </c>
      <c r="K318" s="15"/>
      <c r="M318" s="15"/>
      <c r="N318" s="6">
        <f t="shared" si="17"/>
        <v>0</v>
      </c>
      <c r="O318" s="6">
        <f t="shared" si="18"/>
        <v>0</v>
      </c>
      <c r="P318" s="6" t="str">
        <f t="shared" si="16"/>
        <v>引</v>
      </c>
      <c r="Q318" s="26"/>
      <c r="S318" s="26"/>
      <c r="U318" s="26"/>
      <c r="W318" s="26"/>
      <c r="Y318" s="26"/>
      <c r="AA318" s="26"/>
      <c r="AC318" s="26"/>
      <c r="AE318" s="26"/>
    </row>
    <row r="319" spans="4:31" x14ac:dyDescent="0.55000000000000004">
      <c r="D319" s="13">
        <f t="shared" si="19"/>
        <v>0</v>
      </c>
      <c r="E319" s="14">
        <v>317</v>
      </c>
      <c r="F319" s="6">
        <v>12</v>
      </c>
      <c r="G319" s="6">
        <f>VLOOKUP(F319,監督フォーメーション!$A$2:$C$15,3,FALSE)</f>
        <v>4213</v>
      </c>
      <c r="K319" s="15"/>
      <c r="M319" s="15"/>
      <c r="N319" s="6">
        <f t="shared" si="17"/>
        <v>0</v>
      </c>
      <c r="O319" s="6">
        <f t="shared" si="18"/>
        <v>0</v>
      </c>
      <c r="P319" s="6" t="str">
        <f t="shared" si="16"/>
        <v>引</v>
      </c>
      <c r="Q319" s="26"/>
      <c r="S319" s="26"/>
      <c r="U319" s="26"/>
      <c r="W319" s="26"/>
      <c r="Y319" s="26"/>
      <c r="AA319" s="26"/>
      <c r="AC319" s="26"/>
      <c r="AE319" s="26"/>
    </row>
    <row r="320" spans="4:31" x14ac:dyDescent="0.55000000000000004">
      <c r="D320" s="13">
        <f t="shared" si="19"/>
        <v>0</v>
      </c>
      <c r="E320" s="14">
        <v>318</v>
      </c>
      <c r="F320" s="6">
        <v>12</v>
      </c>
      <c r="G320" s="6">
        <f>VLOOKUP(F320,監督フォーメーション!$A$2:$C$15,3,FALSE)</f>
        <v>4213</v>
      </c>
      <c r="K320" s="15"/>
      <c r="M320" s="15"/>
      <c r="N320" s="6">
        <f t="shared" si="17"/>
        <v>0</v>
      </c>
      <c r="O320" s="6">
        <f t="shared" si="18"/>
        <v>0</v>
      </c>
      <c r="P320" s="6" t="str">
        <f t="shared" si="16"/>
        <v>引</v>
      </c>
      <c r="Q320" s="26"/>
      <c r="S320" s="26"/>
      <c r="U320" s="26"/>
      <c r="W320" s="26"/>
      <c r="Y320" s="26"/>
      <c r="AA320" s="26"/>
      <c r="AC320" s="26"/>
      <c r="AE320" s="26"/>
    </row>
    <row r="321" spans="4:31" x14ac:dyDescent="0.55000000000000004">
      <c r="D321" s="13">
        <f t="shared" si="19"/>
        <v>0</v>
      </c>
      <c r="E321" s="14">
        <v>319</v>
      </c>
      <c r="F321" s="6">
        <v>12</v>
      </c>
      <c r="G321" s="6">
        <f>VLOOKUP(F321,監督フォーメーション!$A$2:$C$15,3,FALSE)</f>
        <v>4213</v>
      </c>
      <c r="K321" s="15"/>
      <c r="M321" s="15"/>
      <c r="N321" s="6">
        <f t="shared" si="17"/>
        <v>0</v>
      </c>
      <c r="O321" s="6">
        <f t="shared" si="18"/>
        <v>0</v>
      </c>
      <c r="P321" s="6" t="str">
        <f t="shared" si="16"/>
        <v>引</v>
      </c>
      <c r="Q321" s="26"/>
      <c r="S321" s="26"/>
      <c r="U321" s="26"/>
      <c r="W321" s="26"/>
      <c r="Y321" s="26"/>
      <c r="AA321" s="26"/>
      <c r="AC321" s="26"/>
      <c r="AE321" s="26"/>
    </row>
    <row r="322" spans="4:31" x14ac:dyDescent="0.55000000000000004">
      <c r="D322" s="13">
        <f t="shared" si="19"/>
        <v>0</v>
      </c>
      <c r="E322" s="14">
        <v>320</v>
      </c>
      <c r="F322" s="6">
        <v>12</v>
      </c>
      <c r="G322" s="6">
        <f>VLOOKUP(F322,監督フォーメーション!$A$2:$C$15,3,FALSE)</f>
        <v>4213</v>
      </c>
      <c r="K322" s="15"/>
      <c r="M322" s="15"/>
      <c r="N322" s="6">
        <f t="shared" si="17"/>
        <v>0</v>
      </c>
      <c r="O322" s="6">
        <f t="shared" si="18"/>
        <v>0</v>
      </c>
      <c r="P322" s="6" t="str">
        <f t="shared" si="16"/>
        <v>引</v>
      </c>
      <c r="Q322" s="26"/>
      <c r="S322" s="26"/>
      <c r="U322" s="26"/>
      <c r="W322" s="26"/>
      <c r="Y322" s="26"/>
      <c r="AA322" s="26"/>
      <c r="AC322" s="26"/>
      <c r="AE322" s="26"/>
    </row>
    <row r="323" spans="4:31" x14ac:dyDescent="0.55000000000000004">
      <c r="D323" s="13">
        <f t="shared" si="19"/>
        <v>0</v>
      </c>
      <c r="E323" s="14">
        <v>321</v>
      </c>
      <c r="F323" s="6">
        <v>12</v>
      </c>
      <c r="G323" s="6">
        <f>VLOOKUP(F323,監督フォーメーション!$A$2:$C$15,3,FALSE)</f>
        <v>4213</v>
      </c>
      <c r="K323" s="15"/>
      <c r="M323" s="15"/>
      <c r="N323" s="6">
        <f t="shared" si="17"/>
        <v>0</v>
      </c>
      <c r="O323" s="6">
        <f t="shared" si="18"/>
        <v>0</v>
      </c>
      <c r="P323" s="6" t="str">
        <f t="shared" ref="P323:P386" si="20">IF(N323-O323&gt;0,"勝",IF(N323-O323&lt;0,"負","引"))</f>
        <v>引</v>
      </c>
      <c r="Q323" s="26"/>
      <c r="S323" s="26"/>
      <c r="U323" s="26"/>
      <c r="W323" s="26"/>
      <c r="Y323" s="26"/>
      <c r="AA323" s="26"/>
      <c r="AC323" s="26"/>
      <c r="AE323" s="26"/>
    </row>
    <row r="324" spans="4:31" x14ac:dyDescent="0.55000000000000004">
      <c r="D324" s="13">
        <f t="shared" si="19"/>
        <v>0</v>
      </c>
      <c r="E324" s="14">
        <v>322</v>
      </c>
      <c r="F324" s="6">
        <v>12</v>
      </c>
      <c r="G324" s="6">
        <f>VLOOKUP(F324,監督フォーメーション!$A$2:$C$15,3,FALSE)</f>
        <v>4213</v>
      </c>
      <c r="K324" s="15"/>
      <c r="M324" s="15"/>
      <c r="N324" s="6">
        <f t="shared" si="17"/>
        <v>0</v>
      </c>
      <c r="O324" s="6">
        <f t="shared" si="18"/>
        <v>0</v>
      </c>
      <c r="P324" s="6" t="str">
        <f t="shared" si="20"/>
        <v>引</v>
      </c>
      <c r="Q324" s="26"/>
      <c r="S324" s="26"/>
      <c r="U324" s="26"/>
      <c r="W324" s="26"/>
      <c r="Y324" s="26"/>
      <c r="AA324" s="26"/>
      <c r="AC324" s="26"/>
      <c r="AE324" s="26"/>
    </row>
    <row r="325" spans="4:31" x14ac:dyDescent="0.55000000000000004">
      <c r="D325" s="13">
        <f t="shared" si="19"/>
        <v>0</v>
      </c>
      <c r="E325" s="14">
        <v>323</v>
      </c>
      <c r="F325" s="6">
        <v>12</v>
      </c>
      <c r="G325" s="6">
        <f>VLOOKUP(F325,監督フォーメーション!$A$2:$C$15,3,FALSE)</f>
        <v>4213</v>
      </c>
      <c r="K325" s="15"/>
      <c r="M325" s="15"/>
      <c r="N325" s="6">
        <f t="shared" si="17"/>
        <v>0</v>
      </c>
      <c r="O325" s="6">
        <f t="shared" si="18"/>
        <v>0</v>
      </c>
      <c r="P325" s="6" t="str">
        <f t="shared" si="20"/>
        <v>引</v>
      </c>
      <c r="Q325" s="26"/>
      <c r="S325" s="26"/>
      <c r="U325" s="26"/>
      <c r="W325" s="26"/>
      <c r="Y325" s="26"/>
      <c r="AA325" s="26"/>
      <c r="AC325" s="26"/>
      <c r="AE325" s="26"/>
    </row>
    <row r="326" spans="4:31" x14ac:dyDescent="0.55000000000000004">
      <c r="D326" s="13">
        <f t="shared" si="19"/>
        <v>0</v>
      </c>
      <c r="E326" s="14">
        <v>324</v>
      </c>
      <c r="F326" s="6">
        <v>12</v>
      </c>
      <c r="G326" s="6">
        <f>VLOOKUP(F326,監督フォーメーション!$A$2:$C$15,3,FALSE)</f>
        <v>4213</v>
      </c>
      <c r="K326" s="15"/>
      <c r="M326" s="15"/>
      <c r="N326" s="6">
        <f t="shared" si="17"/>
        <v>0</v>
      </c>
      <c r="O326" s="6">
        <f t="shared" si="18"/>
        <v>0</v>
      </c>
      <c r="P326" s="6" t="str">
        <f t="shared" si="20"/>
        <v>引</v>
      </c>
      <c r="Q326" s="26"/>
      <c r="S326" s="26"/>
      <c r="U326" s="26"/>
      <c r="W326" s="26"/>
      <c r="Y326" s="26"/>
      <c r="AA326" s="26"/>
      <c r="AC326" s="26"/>
      <c r="AE326" s="26"/>
    </row>
    <row r="327" spans="4:31" x14ac:dyDescent="0.55000000000000004">
      <c r="D327" s="13">
        <f t="shared" si="19"/>
        <v>0</v>
      </c>
      <c r="E327" s="14">
        <v>325</v>
      </c>
      <c r="F327" s="6">
        <v>12</v>
      </c>
      <c r="G327" s="6">
        <f>VLOOKUP(F327,監督フォーメーション!$A$2:$C$15,3,FALSE)</f>
        <v>4213</v>
      </c>
      <c r="K327" s="15"/>
      <c r="M327" s="15"/>
      <c r="N327" s="6">
        <f t="shared" si="17"/>
        <v>0</v>
      </c>
      <c r="O327" s="6">
        <f t="shared" si="18"/>
        <v>0</v>
      </c>
      <c r="P327" s="6" t="str">
        <f t="shared" si="20"/>
        <v>引</v>
      </c>
      <c r="Q327" s="26"/>
      <c r="S327" s="26"/>
      <c r="U327" s="26"/>
      <c r="W327" s="26"/>
      <c r="Y327" s="26"/>
      <c r="AA327" s="26"/>
      <c r="AC327" s="26"/>
      <c r="AE327" s="26"/>
    </row>
    <row r="328" spans="4:31" x14ac:dyDescent="0.55000000000000004">
      <c r="D328" s="13">
        <f t="shared" si="19"/>
        <v>0</v>
      </c>
      <c r="E328" s="14">
        <v>326</v>
      </c>
      <c r="F328" s="6">
        <v>12</v>
      </c>
      <c r="G328" s="6">
        <f>VLOOKUP(F328,監督フォーメーション!$A$2:$C$15,3,FALSE)</f>
        <v>4213</v>
      </c>
      <c r="K328" s="15"/>
      <c r="M328" s="15"/>
      <c r="N328" s="6">
        <f t="shared" si="17"/>
        <v>0</v>
      </c>
      <c r="O328" s="6">
        <f t="shared" si="18"/>
        <v>0</v>
      </c>
      <c r="P328" s="6" t="str">
        <f t="shared" si="20"/>
        <v>引</v>
      </c>
      <c r="Q328" s="26"/>
      <c r="S328" s="26"/>
      <c r="U328" s="26"/>
      <c r="W328" s="26"/>
      <c r="Y328" s="26"/>
      <c r="AA328" s="26"/>
      <c r="AC328" s="26"/>
      <c r="AE328" s="26"/>
    </row>
    <row r="329" spans="4:31" x14ac:dyDescent="0.55000000000000004">
      <c r="D329" s="13">
        <f t="shared" si="19"/>
        <v>0</v>
      </c>
      <c r="E329" s="14">
        <v>327</v>
      </c>
      <c r="F329" s="6">
        <v>12</v>
      </c>
      <c r="G329" s="6">
        <f>VLOOKUP(F329,監督フォーメーション!$A$2:$C$15,3,FALSE)</f>
        <v>4213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4:31" x14ac:dyDescent="0.55000000000000004">
      <c r="D330" s="13">
        <f t="shared" si="19"/>
        <v>0</v>
      </c>
      <c r="E330" s="14">
        <v>328</v>
      </c>
      <c r="F330" s="6">
        <v>12</v>
      </c>
      <c r="G330" s="6">
        <f>VLOOKUP(F330,監督フォーメーション!$A$2:$C$15,3,FALSE)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4:31" x14ac:dyDescent="0.55000000000000004">
      <c r="D331" s="13">
        <f t="shared" si="19"/>
        <v>0</v>
      </c>
      <c r="E331" s="14">
        <v>329</v>
      </c>
      <c r="F331" s="6">
        <v>12</v>
      </c>
      <c r="G331" s="6">
        <f>VLOOKUP(F331,監督フォーメーション!$A$2:$C$15,3,FALSE)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4:31" x14ac:dyDescent="0.55000000000000004">
      <c r="D332" s="13">
        <f t="shared" si="19"/>
        <v>0</v>
      </c>
      <c r="E332" s="14">
        <v>330</v>
      </c>
      <c r="F332" s="6">
        <v>12</v>
      </c>
      <c r="G332" s="6">
        <f>VLOOKUP(F332,監督フォーメーション!$A$2:$C$15,3,FALSE)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4:31" x14ac:dyDescent="0.55000000000000004">
      <c r="D333" s="13">
        <f t="shared" si="19"/>
        <v>0</v>
      </c>
      <c r="E333" s="14">
        <v>331</v>
      </c>
      <c r="F333" s="6">
        <v>12</v>
      </c>
      <c r="G333" s="6">
        <f>VLOOKUP(F333,監督フォーメーション!$A$2:$C$15,3,FALSE)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4:31" x14ac:dyDescent="0.55000000000000004">
      <c r="D334" s="13">
        <f t="shared" si="19"/>
        <v>0</v>
      </c>
      <c r="E334" s="14">
        <v>332</v>
      </c>
      <c r="F334" s="6">
        <v>12</v>
      </c>
      <c r="G334" s="6">
        <f>VLOOKUP(F334,監督フォーメーション!$A$2:$C$15,3,FALSE)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4:31" x14ac:dyDescent="0.55000000000000004">
      <c r="D335" s="13">
        <f t="shared" si="19"/>
        <v>0</v>
      </c>
      <c r="E335" s="14">
        <v>333</v>
      </c>
      <c r="F335" s="6">
        <v>12</v>
      </c>
      <c r="G335" s="6">
        <f>VLOOKUP(F335,監督フォーメーション!$A$2:$C$15,3,FALSE)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4:31" x14ac:dyDescent="0.55000000000000004">
      <c r="D336" s="13">
        <f t="shared" si="19"/>
        <v>0</v>
      </c>
      <c r="E336" s="14">
        <v>334</v>
      </c>
      <c r="F336" s="6">
        <v>12</v>
      </c>
      <c r="G336" s="6">
        <f>VLOOKUP(F336,監督フォーメーション!$A$2:$C$15,3,FALSE)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55000000000000004">
      <c r="D337" s="13">
        <f t="shared" si="19"/>
        <v>0</v>
      </c>
      <c r="E337" s="14">
        <v>335</v>
      </c>
      <c r="F337" s="6">
        <v>12</v>
      </c>
      <c r="G337" s="6">
        <f>VLOOKUP(F337,監督フォーメーション!$A$2:$C$15,3,FALSE)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55000000000000004">
      <c r="D338" s="13">
        <f t="shared" si="19"/>
        <v>0</v>
      </c>
      <c r="E338" s="14">
        <v>336</v>
      </c>
      <c r="F338" s="6">
        <v>12</v>
      </c>
      <c r="G338" s="6">
        <f>VLOOKUP(F338,監督フォーメーション!$A$2:$C$15,3,FALSE)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55000000000000004">
      <c r="D339" s="13">
        <f t="shared" si="19"/>
        <v>0</v>
      </c>
      <c r="E339" s="14">
        <v>337</v>
      </c>
      <c r="F339" s="6">
        <v>12</v>
      </c>
      <c r="G339" s="6">
        <f>VLOOKUP(F339,監督フォーメーション!$A$2:$C$15,3,FALSE)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55000000000000004">
      <c r="D340" s="13">
        <f t="shared" si="19"/>
        <v>0</v>
      </c>
      <c r="E340" s="14">
        <v>338</v>
      </c>
      <c r="F340" s="6">
        <v>12</v>
      </c>
      <c r="G340" s="6">
        <f>VLOOKUP(F340,監督フォーメーション!$A$2:$C$15,3,FALSE)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55000000000000004">
      <c r="D341" s="13">
        <f t="shared" si="19"/>
        <v>0</v>
      </c>
      <c r="E341" s="14">
        <v>339</v>
      </c>
      <c r="F341" s="6">
        <v>12</v>
      </c>
      <c r="G341" s="6">
        <f>VLOOKUP(F341,監督フォーメーション!$A$2:$C$15,3,FALSE)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55000000000000004">
      <c r="D342" s="13">
        <f t="shared" si="19"/>
        <v>0</v>
      </c>
      <c r="E342" s="14">
        <v>340</v>
      </c>
      <c r="F342" s="6">
        <v>12</v>
      </c>
      <c r="G342" s="6">
        <f>VLOOKUP(F342,監督フォーメーション!$A$2:$C$15,3,FALSE)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55000000000000004">
      <c r="D343" s="13">
        <f t="shared" si="19"/>
        <v>0</v>
      </c>
      <c r="E343" s="14">
        <v>341</v>
      </c>
      <c r="F343" s="6">
        <v>12</v>
      </c>
      <c r="G343" s="6">
        <f>VLOOKUP(F343,監督フォーメーション!$A$2:$C$15,3,FALSE)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55000000000000004">
      <c r="D344" s="13">
        <f t="shared" si="19"/>
        <v>0</v>
      </c>
      <c r="E344" s="14">
        <v>342</v>
      </c>
      <c r="F344" s="6">
        <v>12</v>
      </c>
      <c r="G344" s="6">
        <f>VLOOKUP(F344,監督フォーメーション!$A$2:$C$15,3,FALSE)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55000000000000004">
      <c r="D345" s="13">
        <f t="shared" si="19"/>
        <v>0</v>
      </c>
      <c r="E345" s="14">
        <v>343</v>
      </c>
      <c r="F345" s="6">
        <v>12</v>
      </c>
      <c r="G345" s="6">
        <f>VLOOKUP(F345,監督フォーメーション!$A$2:$C$15,3,FALSE)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55000000000000004">
      <c r="D346" s="13">
        <f t="shared" si="19"/>
        <v>0</v>
      </c>
      <c r="E346" s="14">
        <v>344</v>
      </c>
      <c r="F346" s="6">
        <v>12</v>
      </c>
      <c r="G346" s="6">
        <f>VLOOKUP(F346,監督フォーメーション!$A$2:$C$15,3,FALSE)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55000000000000004">
      <c r="D347" s="13">
        <f t="shared" si="19"/>
        <v>0</v>
      </c>
      <c r="E347" s="14">
        <v>345</v>
      </c>
      <c r="F347" s="6">
        <v>12</v>
      </c>
      <c r="G347" s="6">
        <f>VLOOKUP(F347,監督フォーメーション!$A$2:$C$15,3,FALSE)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55000000000000004">
      <c r="D348" s="13">
        <f t="shared" si="19"/>
        <v>0</v>
      </c>
      <c r="E348" s="14">
        <v>346</v>
      </c>
      <c r="F348" s="6">
        <v>12</v>
      </c>
      <c r="G348" s="6">
        <f>VLOOKUP(F348,監督フォーメーション!$A$2:$C$15,3,FALSE)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55000000000000004">
      <c r="D349" s="13">
        <f t="shared" si="19"/>
        <v>0</v>
      </c>
      <c r="E349" s="14">
        <v>347</v>
      </c>
      <c r="F349" s="6">
        <v>12</v>
      </c>
      <c r="G349" s="6">
        <f>VLOOKUP(F349,監督フォーメーション!$A$2:$C$15,3,FALSE)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55000000000000004">
      <c r="D350" s="13">
        <f t="shared" si="19"/>
        <v>0</v>
      </c>
      <c r="E350" s="14">
        <v>348</v>
      </c>
      <c r="F350" s="6">
        <v>12</v>
      </c>
      <c r="G350" s="6">
        <f>VLOOKUP(F350,監督フォーメーション!$A$2:$C$15,3,FALSE)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55000000000000004">
      <c r="D351" s="13">
        <f t="shared" si="19"/>
        <v>0</v>
      </c>
      <c r="E351" s="14">
        <v>349</v>
      </c>
      <c r="F351" s="6">
        <v>12</v>
      </c>
      <c r="G351" s="6">
        <f>VLOOKUP(F351,監督フォーメーション!$A$2:$C$15,3,FALSE)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55000000000000004">
      <c r="D352" s="13">
        <f t="shared" si="19"/>
        <v>0</v>
      </c>
      <c r="E352" s="14">
        <v>350</v>
      </c>
      <c r="F352" s="6">
        <v>12</v>
      </c>
      <c r="G352" s="6">
        <f>VLOOKUP(F352,監督フォーメーション!$A$2:$C$15,3,FALSE)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55000000000000004">
      <c r="D353" s="13">
        <f t="shared" si="19"/>
        <v>0</v>
      </c>
      <c r="E353" s="14">
        <v>351</v>
      </c>
      <c r="F353" s="6">
        <v>12</v>
      </c>
      <c r="G353" s="6">
        <f>VLOOKUP(F353,監督フォーメーション!$A$2:$C$15,3,FALSE)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55000000000000004">
      <c r="D354" s="13">
        <f t="shared" si="19"/>
        <v>0</v>
      </c>
      <c r="E354" s="14">
        <v>352</v>
      </c>
      <c r="F354" s="6">
        <v>12</v>
      </c>
      <c r="G354" s="6">
        <f>VLOOKUP(F354,監督フォーメーション!$A$2:$C$15,3,FALSE)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55000000000000004">
      <c r="D355" s="13">
        <f t="shared" si="19"/>
        <v>0</v>
      </c>
      <c r="E355" s="14">
        <v>353</v>
      </c>
      <c r="F355" s="6">
        <v>12</v>
      </c>
      <c r="G355" s="6">
        <f>VLOOKUP(F355,監督フォーメーション!$A$2:$C$15,3,FALSE)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55000000000000004">
      <c r="D356" s="13">
        <f t="shared" si="19"/>
        <v>0</v>
      </c>
      <c r="E356" s="14">
        <v>354</v>
      </c>
      <c r="F356" s="6">
        <v>12</v>
      </c>
      <c r="G356" s="6">
        <f>VLOOKUP(F356,監督フォーメーション!$A$2:$C$15,3,FALSE)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55000000000000004">
      <c r="D357" s="13">
        <f t="shared" si="19"/>
        <v>0</v>
      </c>
      <c r="E357" s="14">
        <v>355</v>
      </c>
      <c r="F357" s="6">
        <v>12</v>
      </c>
      <c r="G357" s="6">
        <f>VLOOKUP(F357,監督フォーメーション!$A$2:$C$15,3,FALSE)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55000000000000004">
      <c r="D358" s="13">
        <f t="shared" si="19"/>
        <v>0</v>
      </c>
      <c r="E358" s="14">
        <v>356</v>
      </c>
      <c r="F358" s="6">
        <v>12</v>
      </c>
      <c r="G358" s="6">
        <f>VLOOKUP(F358,監督フォーメーション!$A$2:$C$15,3,FALSE)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55000000000000004">
      <c r="D359" s="13">
        <f t="shared" si="19"/>
        <v>0</v>
      </c>
      <c r="E359" s="14">
        <v>357</v>
      </c>
      <c r="F359" s="6">
        <v>12</v>
      </c>
      <c r="G359" s="6">
        <f>VLOOKUP(F359,監督フォーメーション!$A$2:$C$15,3,FALSE)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55000000000000004">
      <c r="D360" s="13">
        <f t="shared" si="19"/>
        <v>0</v>
      </c>
      <c r="E360" s="14">
        <v>358</v>
      </c>
      <c r="F360" s="6">
        <v>12</v>
      </c>
      <c r="G360" s="6">
        <f>VLOOKUP(F360,監督フォーメーション!$A$2:$C$15,3,FALSE)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55000000000000004">
      <c r="D361" s="13">
        <f t="shared" si="19"/>
        <v>0</v>
      </c>
      <c r="E361" s="14">
        <v>359</v>
      </c>
      <c r="F361" s="6">
        <v>12</v>
      </c>
      <c r="G361" s="6">
        <f>VLOOKUP(F361,監督フォーメーション!$A$2:$C$15,3,FALSE)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55000000000000004">
      <c r="D362" s="13">
        <f t="shared" si="19"/>
        <v>0</v>
      </c>
      <c r="E362" s="14">
        <v>360</v>
      </c>
      <c r="F362" s="6">
        <v>12</v>
      </c>
      <c r="G362" s="6">
        <f>VLOOKUP(F362,監督フォーメーション!$A$2:$C$15,3,FALSE)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55000000000000004">
      <c r="D363" s="13">
        <f t="shared" ref="D363:D426" si="23">B363+C363</f>
        <v>0</v>
      </c>
      <c r="E363" s="14">
        <v>361</v>
      </c>
      <c r="F363" s="6">
        <v>12</v>
      </c>
      <c r="G363" s="6">
        <f>VLOOKUP(F363,監督フォーメーション!$A$2:$C$15,3,FALSE)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55000000000000004">
      <c r="D364" s="13">
        <f t="shared" si="23"/>
        <v>0</v>
      </c>
      <c r="E364" s="14">
        <v>362</v>
      </c>
      <c r="F364" s="6">
        <v>12</v>
      </c>
      <c r="G364" s="6">
        <f>VLOOKUP(F364,監督フォーメーション!$A$2:$C$15,3,FALSE)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55000000000000004">
      <c r="D365" s="13">
        <f t="shared" si="23"/>
        <v>0</v>
      </c>
      <c r="E365" s="14">
        <v>363</v>
      </c>
      <c r="F365" s="6">
        <v>12</v>
      </c>
      <c r="G365" s="6">
        <f>VLOOKUP(F365,監督フォーメーション!$A$2:$C$15,3,FALSE)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55000000000000004">
      <c r="D366" s="13">
        <f t="shared" si="23"/>
        <v>0</v>
      </c>
      <c r="E366" s="14">
        <v>364</v>
      </c>
      <c r="F366" s="6">
        <v>12</v>
      </c>
      <c r="G366" s="6">
        <f>VLOOKUP(F366,監督フォーメーション!$A$2:$C$15,3,FALSE)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55000000000000004">
      <c r="D367" s="13">
        <f t="shared" si="23"/>
        <v>0</v>
      </c>
      <c r="E367" s="14">
        <v>365</v>
      </c>
      <c r="F367" s="6">
        <v>12</v>
      </c>
      <c r="G367" s="6">
        <f>VLOOKUP(F367,監督フォーメーション!$A$2:$C$15,3,FALSE)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55000000000000004">
      <c r="D368" s="13">
        <f t="shared" si="23"/>
        <v>0</v>
      </c>
      <c r="E368" s="14">
        <v>366</v>
      </c>
      <c r="F368" s="6">
        <v>12</v>
      </c>
      <c r="G368" s="6">
        <f>VLOOKUP(F368,監督フォーメーション!$A$2:$C$15,3,FALSE)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55000000000000004">
      <c r="D369" s="13">
        <f t="shared" si="23"/>
        <v>0</v>
      </c>
      <c r="E369" s="14">
        <v>367</v>
      </c>
      <c r="F369" s="6">
        <v>12</v>
      </c>
      <c r="G369" s="6">
        <f>VLOOKUP(F369,監督フォーメーション!$A$2:$C$15,3,FALSE)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55000000000000004">
      <c r="D370" s="13">
        <f t="shared" si="23"/>
        <v>0</v>
      </c>
      <c r="E370" s="14">
        <v>368</v>
      </c>
      <c r="F370" s="6">
        <v>12</v>
      </c>
      <c r="G370" s="6">
        <f>VLOOKUP(F370,監督フォーメーション!$A$2:$C$15,3,FALSE)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55000000000000004">
      <c r="D371" s="13">
        <f t="shared" si="23"/>
        <v>0</v>
      </c>
      <c r="E371" s="14">
        <v>369</v>
      </c>
      <c r="F371" s="6">
        <v>12</v>
      </c>
      <c r="G371" s="6">
        <f>VLOOKUP(F371,監督フォーメーション!$A$2:$C$15,3,FALSE)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55000000000000004">
      <c r="D372" s="13">
        <f t="shared" si="23"/>
        <v>0</v>
      </c>
      <c r="E372" s="14">
        <v>370</v>
      </c>
      <c r="F372" s="6">
        <v>12</v>
      </c>
      <c r="G372" s="6">
        <f>VLOOKUP(F372,監督フォーメーション!$A$2:$C$15,3,FALSE)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55000000000000004">
      <c r="D373" s="13">
        <f t="shared" si="23"/>
        <v>0</v>
      </c>
      <c r="E373" s="14">
        <v>371</v>
      </c>
      <c r="F373" s="6">
        <v>12</v>
      </c>
      <c r="G373" s="6">
        <f>VLOOKUP(F373,監督フォーメーション!$A$2:$C$15,3,FALSE)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55000000000000004">
      <c r="D374" s="13">
        <f t="shared" si="23"/>
        <v>0</v>
      </c>
      <c r="E374" s="14">
        <v>372</v>
      </c>
      <c r="F374" s="6">
        <v>12</v>
      </c>
      <c r="G374" s="6">
        <f>VLOOKUP(F374,監督フォーメーション!$A$2:$C$15,3,FALSE)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55000000000000004">
      <c r="D375" s="13">
        <f t="shared" si="23"/>
        <v>0</v>
      </c>
      <c r="E375" s="14">
        <v>373</v>
      </c>
      <c r="F375" s="6">
        <v>12</v>
      </c>
      <c r="G375" s="6">
        <f>VLOOKUP(F375,監督フォーメーション!$A$2:$C$15,3,FALSE)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55000000000000004">
      <c r="D376" s="13">
        <f t="shared" si="23"/>
        <v>0</v>
      </c>
      <c r="E376" s="14">
        <v>374</v>
      </c>
      <c r="F376" s="6">
        <v>12</v>
      </c>
      <c r="G376" s="6">
        <f>VLOOKUP(F376,監督フォーメーション!$A$2:$C$15,3,FALSE)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55000000000000004">
      <c r="D377" s="13">
        <f t="shared" si="23"/>
        <v>0</v>
      </c>
      <c r="E377" s="14">
        <v>375</v>
      </c>
      <c r="F377" s="6">
        <v>12</v>
      </c>
      <c r="G377" s="6">
        <f>VLOOKUP(F377,監督フォーメーション!$A$2:$C$15,3,FALSE)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55000000000000004">
      <c r="D378" s="13">
        <f t="shared" si="23"/>
        <v>0</v>
      </c>
      <c r="E378" s="14">
        <v>376</v>
      </c>
      <c r="F378" s="6">
        <v>12</v>
      </c>
      <c r="G378" s="6">
        <f>VLOOKUP(F378,監督フォーメーション!$A$2:$C$15,3,FALSE)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55000000000000004">
      <c r="D379" s="13">
        <f t="shared" si="23"/>
        <v>0</v>
      </c>
      <c r="E379" s="14">
        <v>377</v>
      </c>
      <c r="F379" s="6">
        <v>12</v>
      </c>
      <c r="G379" s="6">
        <f>VLOOKUP(F379,監督フォーメーション!$A$2:$C$15,3,FALSE)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55000000000000004">
      <c r="D380" s="13">
        <f t="shared" si="23"/>
        <v>0</v>
      </c>
      <c r="E380" s="14">
        <v>378</v>
      </c>
      <c r="F380" s="6">
        <v>12</v>
      </c>
      <c r="G380" s="6">
        <f>VLOOKUP(F380,監督フォーメーション!$A$2:$C$15,3,FALSE)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55000000000000004">
      <c r="D381" s="13">
        <f t="shared" si="23"/>
        <v>0</v>
      </c>
      <c r="E381" s="14">
        <v>379</v>
      </c>
      <c r="F381" s="6">
        <v>12</v>
      </c>
      <c r="G381" s="6">
        <f>VLOOKUP(F381,監督フォーメーション!$A$2:$C$15,3,FALSE)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55000000000000004">
      <c r="D382" s="13">
        <f t="shared" si="23"/>
        <v>0</v>
      </c>
      <c r="E382" s="14">
        <v>380</v>
      </c>
      <c r="F382" s="6">
        <v>12</v>
      </c>
      <c r="G382" s="6">
        <f>VLOOKUP(F382,監督フォーメーション!$A$2:$C$15,3,FALSE)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55000000000000004">
      <c r="D383" s="13">
        <f t="shared" si="23"/>
        <v>0</v>
      </c>
      <c r="E383" s="14">
        <v>381</v>
      </c>
      <c r="F383" s="6">
        <v>12</v>
      </c>
      <c r="G383" s="6">
        <f>VLOOKUP(F383,監督フォーメーション!$A$2:$C$15,3,FALSE)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55000000000000004">
      <c r="D384" s="13">
        <f t="shared" si="23"/>
        <v>0</v>
      </c>
      <c r="E384" s="14">
        <v>382</v>
      </c>
      <c r="F384" s="6">
        <v>12</v>
      </c>
      <c r="G384" s="6">
        <f>VLOOKUP(F384,監督フォーメーション!$A$2:$C$15,3,FALSE)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55000000000000004">
      <c r="D385" s="13">
        <f t="shared" si="23"/>
        <v>0</v>
      </c>
      <c r="E385" s="14">
        <v>383</v>
      </c>
      <c r="F385" s="6">
        <v>12</v>
      </c>
      <c r="G385" s="6">
        <f>VLOOKUP(F385,監督フォーメーション!$A$2:$C$15,3,FALSE)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55000000000000004">
      <c r="D386" s="13">
        <f t="shared" si="23"/>
        <v>0</v>
      </c>
      <c r="E386" s="14">
        <v>384</v>
      </c>
      <c r="F386" s="6">
        <v>12</v>
      </c>
      <c r="G386" s="6">
        <f>VLOOKUP(F386,監督フォーメーション!$A$2:$C$15,3,FALSE)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55000000000000004">
      <c r="D387" s="13">
        <f t="shared" si="23"/>
        <v>0</v>
      </c>
      <c r="E387" s="14">
        <v>385</v>
      </c>
      <c r="F387" s="6">
        <v>12</v>
      </c>
      <c r="G387" s="6">
        <f>VLOOKUP(F387,監督フォーメーション!$A$2:$C$15,3,FALSE)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55000000000000004">
      <c r="D388" s="13">
        <f t="shared" si="23"/>
        <v>0</v>
      </c>
      <c r="E388" s="14">
        <v>386</v>
      </c>
      <c r="F388" s="6">
        <v>12</v>
      </c>
      <c r="G388" s="6">
        <f>VLOOKUP(F388,監督フォーメーション!$A$2:$C$15,3,FALSE)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55000000000000004">
      <c r="D389" s="13">
        <f t="shared" si="23"/>
        <v>0</v>
      </c>
      <c r="E389" s="14">
        <v>387</v>
      </c>
      <c r="F389" s="6">
        <v>12</v>
      </c>
      <c r="G389" s="6">
        <f>VLOOKUP(F389,監督フォーメーション!$A$2:$C$15,3,FALSE)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55000000000000004">
      <c r="D390" s="13">
        <f t="shared" si="23"/>
        <v>0</v>
      </c>
      <c r="E390" s="14">
        <v>388</v>
      </c>
      <c r="F390" s="6">
        <v>12</v>
      </c>
      <c r="G390" s="6">
        <f>VLOOKUP(F390,監督フォーメーション!$A$2:$C$15,3,FALSE)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55000000000000004">
      <c r="D391" s="13">
        <f t="shared" si="23"/>
        <v>0</v>
      </c>
      <c r="E391" s="14">
        <v>389</v>
      </c>
      <c r="F391" s="6">
        <v>12</v>
      </c>
      <c r="G391" s="6">
        <f>VLOOKUP(F391,監督フォーメーション!$A$2:$C$15,3,FALSE)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55000000000000004">
      <c r="D392" s="13">
        <f t="shared" si="23"/>
        <v>0</v>
      </c>
      <c r="E392" s="14">
        <v>390</v>
      </c>
      <c r="F392" s="6">
        <v>12</v>
      </c>
      <c r="G392" s="6">
        <f>VLOOKUP(F392,監督フォーメーション!$A$2:$C$15,3,FALSE)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55000000000000004">
      <c r="D393" s="13">
        <f t="shared" si="23"/>
        <v>0</v>
      </c>
      <c r="E393" s="14">
        <v>391</v>
      </c>
      <c r="F393" s="6">
        <v>12</v>
      </c>
      <c r="G393" s="6">
        <f>VLOOKUP(F393,監督フォーメーション!$A$2:$C$15,3,FALSE)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55000000000000004">
      <c r="D394" s="13">
        <f t="shared" si="23"/>
        <v>0</v>
      </c>
      <c r="E394" s="14">
        <v>392</v>
      </c>
      <c r="F394" s="6">
        <v>12</v>
      </c>
      <c r="G394" s="6">
        <f>VLOOKUP(F394,監督フォーメーション!$A$2:$C$15,3,FALSE)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55000000000000004">
      <c r="D395" s="13">
        <f t="shared" si="23"/>
        <v>0</v>
      </c>
      <c r="E395" s="14">
        <v>393</v>
      </c>
      <c r="F395" s="6">
        <v>12</v>
      </c>
      <c r="G395" s="6">
        <f>VLOOKUP(F395,監督フォーメーション!$A$2:$C$15,3,FALSE)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55000000000000004">
      <c r="D396" s="13">
        <f t="shared" si="23"/>
        <v>0</v>
      </c>
      <c r="E396" s="14">
        <v>394</v>
      </c>
      <c r="F396" s="6">
        <v>12</v>
      </c>
      <c r="G396" s="6">
        <f>VLOOKUP(F396,監督フォーメーション!$A$2:$C$15,3,FALSE)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55000000000000004">
      <c r="D397" s="13">
        <f t="shared" si="23"/>
        <v>0</v>
      </c>
      <c r="E397" s="14">
        <v>395</v>
      </c>
      <c r="F397" s="6">
        <v>12</v>
      </c>
      <c r="G397" s="6">
        <f>VLOOKUP(F397,監督フォーメーション!$A$2:$C$15,3,FALSE)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55000000000000004">
      <c r="D398" s="13">
        <f t="shared" si="23"/>
        <v>0</v>
      </c>
      <c r="E398" s="14">
        <v>396</v>
      </c>
      <c r="F398" s="6">
        <v>12</v>
      </c>
      <c r="G398" s="6">
        <f>VLOOKUP(F398,監督フォーメーション!$A$2:$C$15,3,FALSE)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55000000000000004">
      <c r="D399" s="13">
        <f t="shared" si="23"/>
        <v>0</v>
      </c>
      <c r="E399" s="14">
        <v>397</v>
      </c>
      <c r="F399" s="6">
        <v>12</v>
      </c>
      <c r="G399" s="6">
        <f>VLOOKUP(F399,監督フォーメーション!$A$2:$C$15,3,FALSE)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55000000000000004">
      <c r="D400" s="13">
        <f t="shared" si="23"/>
        <v>0</v>
      </c>
      <c r="E400" s="14">
        <v>398</v>
      </c>
      <c r="F400" s="6">
        <v>12</v>
      </c>
      <c r="G400" s="6">
        <f>VLOOKUP(F400,監督フォーメーション!$A$2:$C$15,3,FALSE)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55000000000000004">
      <c r="D401" s="13">
        <f t="shared" si="23"/>
        <v>0</v>
      </c>
      <c r="E401" s="14">
        <v>399</v>
      </c>
      <c r="F401" s="6">
        <v>12</v>
      </c>
      <c r="G401" s="6">
        <f>VLOOKUP(F401,監督フォーメーション!$A$2:$C$15,3,FALSE)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55000000000000004">
      <c r="D402" s="13">
        <f t="shared" si="23"/>
        <v>0</v>
      </c>
      <c r="E402" s="14">
        <v>400</v>
      </c>
      <c r="F402" s="6">
        <v>12</v>
      </c>
      <c r="G402" s="6">
        <f>VLOOKUP(F402,監督フォーメーション!$A$2:$C$15,3,FALSE)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55000000000000004">
      <c r="D403" s="13">
        <f t="shared" si="23"/>
        <v>0</v>
      </c>
      <c r="E403" s="14">
        <v>401</v>
      </c>
      <c r="F403" s="6">
        <v>12</v>
      </c>
      <c r="G403" s="6">
        <f>VLOOKUP(F403,監督フォーメーション!$A$2:$C$15,3,FALSE)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55000000000000004">
      <c r="D404" s="13">
        <f t="shared" si="23"/>
        <v>0</v>
      </c>
      <c r="E404" s="14">
        <v>402</v>
      </c>
      <c r="F404" s="6">
        <v>12</v>
      </c>
      <c r="G404" s="6">
        <f>VLOOKUP(F404,監督フォーメーション!$A$2:$C$15,3,FALSE)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55000000000000004">
      <c r="D405" s="13">
        <f t="shared" si="23"/>
        <v>0</v>
      </c>
      <c r="E405" s="14">
        <v>403</v>
      </c>
      <c r="F405" s="6">
        <v>12</v>
      </c>
      <c r="G405" s="6">
        <f>VLOOKUP(F405,監督フォーメーション!$A$2:$C$15,3,FALSE)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55000000000000004">
      <c r="D406" s="13">
        <f t="shared" si="23"/>
        <v>0</v>
      </c>
      <c r="E406" s="14">
        <v>404</v>
      </c>
      <c r="F406" s="6">
        <v>12</v>
      </c>
      <c r="G406" s="6">
        <f>VLOOKUP(F406,監督フォーメーション!$A$2:$C$15,3,FALSE)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55000000000000004">
      <c r="D407" s="13">
        <f t="shared" si="23"/>
        <v>0</v>
      </c>
      <c r="E407" s="14">
        <v>405</v>
      </c>
      <c r="F407" s="6">
        <v>12</v>
      </c>
      <c r="G407" s="6">
        <f>VLOOKUP(F407,監督フォーメーション!$A$2:$C$15,3,FALSE)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55000000000000004">
      <c r="D408" s="13">
        <f t="shared" si="23"/>
        <v>0</v>
      </c>
      <c r="E408" s="14">
        <v>406</v>
      </c>
      <c r="F408" s="6">
        <v>12</v>
      </c>
      <c r="G408" s="6">
        <f>VLOOKUP(F408,監督フォーメーション!$A$2:$C$15,3,FALSE)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55000000000000004">
      <c r="D409" s="13">
        <f t="shared" si="23"/>
        <v>0</v>
      </c>
      <c r="E409" s="14">
        <v>407</v>
      </c>
      <c r="F409" s="6">
        <v>12</v>
      </c>
      <c r="G409" s="6">
        <f>VLOOKUP(F409,監督フォーメーション!$A$2:$C$15,3,FALSE)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55000000000000004">
      <c r="D410" s="13">
        <f t="shared" si="23"/>
        <v>0</v>
      </c>
      <c r="E410" s="14">
        <v>408</v>
      </c>
      <c r="F410" s="6">
        <v>12</v>
      </c>
      <c r="G410" s="6">
        <f>VLOOKUP(F410,監督フォーメーション!$A$2:$C$15,3,FALSE)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55000000000000004">
      <c r="D411" s="13">
        <f t="shared" si="23"/>
        <v>0</v>
      </c>
      <c r="E411" s="14">
        <v>409</v>
      </c>
      <c r="F411" s="6">
        <v>12</v>
      </c>
      <c r="G411" s="6">
        <f>VLOOKUP(F411,監督フォーメーション!$A$2:$C$15,3,FALSE)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55000000000000004">
      <c r="D412" s="13">
        <f t="shared" si="23"/>
        <v>0</v>
      </c>
      <c r="E412" s="14">
        <v>410</v>
      </c>
      <c r="F412" s="6">
        <v>12</v>
      </c>
      <c r="G412" s="6">
        <f>VLOOKUP(F412,監督フォーメーション!$A$2:$C$15,3,FALSE)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55000000000000004">
      <c r="D413" s="13">
        <f t="shared" si="23"/>
        <v>0</v>
      </c>
      <c r="E413" s="14">
        <v>411</v>
      </c>
      <c r="F413" s="6">
        <v>12</v>
      </c>
      <c r="G413" s="6">
        <f>VLOOKUP(F413,監督フォーメーション!$A$2:$C$15,3,FALSE)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55000000000000004">
      <c r="D414" s="13">
        <f t="shared" si="23"/>
        <v>0</v>
      </c>
      <c r="E414" s="14">
        <v>412</v>
      </c>
      <c r="F414" s="6">
        <v>12</v>
      </c>
      <c r="G414" s="6">
        <f>VLOOKUP(F414,監督フォーメーション!$A$2:$C$15,3,FALSE)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55000000000000004">
      <c r="D415" s="13">
        <f t="shared" si="23"/>
        <v>0</v>
      </c>
      <c r="E415" s="14">
        <v>413</v>
      </c>
      <c r="F415" s="6">
        <v>12</v>
      </c>
      <c r="G415" s="6">
        <f>VLOOKUP(F415,監督フォーメーション!$A$2:$C$15,3,FALSE)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55000000000000004">
      <c r="D416" s="13">
        <f t="shared" si="23"/>
        <v>0</v>
      </c>
      <c r="E416" s="14">
        <v>414</v>
      </c>
      <c r="F416" s="6">
        <v>12</v>
      </c>
      <c r="G416" s="6">
        <f>VLOOKUP(F416,監督フォーメーション!$A$2:$C$15,3,FALSE)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55000000000000004">
      <c r="D417" s="13">
        <f t="shared" si="23"/>
        <v>0</v>
      </c>
      <c r="E417" s="14">
        <v>415</v>
      </c>
      <c r="F417" s="6">
        <v>12</v>
      </c>
      <c r="G417" s="6">
        <f>VLOOKUP(F417,監督フォーメーション!$A$2:$C$15,3,FALSE)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55000000000000004">
      <c r="D418" s="13">
        <f t="shared" si="23"/>
        <v>0</v>
      </c>
      <c r="E418" s="14">
        <v>416</v>
      </c>
      <c r="F418" s="6">
        <v>12</v>
      </c>
      <c r="G418" s="6">
        <f>VLOOKUP(F418,監督フォーメーション!$A$2:$C$15,3,FALSE)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55000000000000004">
      <c r="D419" s="13">
        <f t="shared" si="23"/>
        <v>0</v>
      </c>
      <c r="E419" s="14">
        <v>417</v>
      </c>
      <c r="F419" s="6">
        <v>12</v>
      </c>
      <c r="G419" s="6">
        <f>VLOOKUP(F419,監督フォーメーション!$A$2:$C$15,3,FALSE)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55000000000000004">
      <c r="D420" s="13">
        <f t="shared" si="23"/>
        <v>0</v>
      </c>
      <c r="E420" s="14">
        <v>418</v>
      </c>
      <c r="F420" s="6">
        <v>12</v>
      </c>
      <c r="G420" s="6">
        <f>VLOOKUP(F420,監督フォーメーション!$A$2:$C$15,3,FALSE)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55000000000000004">
      <c r="D421" s="13">
        <f t="shared" si="23"/>
        <v>0</v>
      </c>
      <c r="E421" s="14">
        <v>419</v>
      </c>
      <c r="F421" s="6">
        <v>12</v>
      </c>
      <c r="G421" s="6">
        <f>VLOOKUP(F421,監督フォーメーション!$A$2:$C$15,3,FALSE)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55000000000000004">
      <c r="D422" s="13">
        <f t="shared" si="23"/>
        <v>0</v>
      </c>
      <c r="E422" s="14">
        <v>420</v>
      </c>
      <c r="F422" s="6">
        <v>12</v>
      </c>
      <c r="G422" s="6">
        <f>VLOOKUP(F422,監督フォーメーション!$A$2:$C$15,3,FALSE)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55000000000000004">
      <c r="D423" s="13">
        <f t="shared" si="23"/>
        <v>0</v>
      </c>
      <c r="E423" s="14">
        <v>421</v>
      </c>
      <c r="F423" s="6">
        <v>12</v>
      </c>
      <c r="G423" s="6">
        <f>VLOOKUP(F423,監督フォーメーション!$A$2:$C$15,3,FALSE)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55000000000000004">
      <c r="D424" s="13">
        <f t="shared" si="23"/>
        <v>0</v>
      </c>
      <c r="E424" s="14">
        <v>422</v>
      </c>
      <c r="F424" s="6">
        <v>12</v>
      </c>
      <c r="G424" s="6">
        <f>VLOOKUP(F424,監督フォーメーション!$A$2:$C$15,3,FALSE)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55000000000000004">
      <c r="D425" s="13">
        <f t="shared" si="23"/>
        <v>0</v>
      </c>
      <c r="E425" s="14">
        <v>423</v>
      </c>
      <c r="F425" s="6">
        <v>12</v>
      </c>
      <c r="G425" s="6">
        <f>VLOOKUP(F425,監督フォーメーション!$A$2:$C$15,3,FALSE)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55000000000000004">
      <c r="D426" s="13">
        <f t="shared" si="23"/>
        <v>0</v>
      </c>
      <c r="E426" s="14">
        <v>424</v>
      </c>
      <c r="F426" s="6">
        <v>12</v>
      </c>
      <c r="G426" s="6">
        <f>VLOOKUP(F426,監督フォーメーション!$A$2:$C$15,3,FALSE)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55000000000000004">
      <c r="D427" s="13">
        <f t="shared" ref="D427:D462" si="27">B427+C427</f>
        <v>0</v>
      </c>
      <c r="E427" s="14">
        <v>425</v>
      </c>
      <c r="F427" s="6">
        <v>12</v>
      </c>
      <c r="G427" s="6">
        <f>VLOOKUP(F427,監督フォーメーション!$A$2:$C$15,3,FALSE)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55000000000000004">
      <c r="D428" s="13">
        <f t="shared" si="27"/>
        <v>0</v>
      </c>
      <c r="E428" s="14">
        <v>426</v>
      </c>
      <c r="F428" s="6">
        <v>12</v>
      </c>
      <c r="G428" s="6">
        <f>VLOOKUP(F428,監督フォーメーション!$A$2:$C$15,3,FALSE)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55000000000000004">
      <c r="D429" s="13">
        <f t="shared" si="27"/>
        <v>0</v>
      </c>
      <c r="E429" s="14">
        <v>427</v>
      </c>
      <c r="F429" s="6">
        <v>12</v>
      </c>
      <c r="G429" s="6">
        <f>VLOOKUP(F429,監督フォーメーション!$A$2:$C$15,3,FALSE)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55000000000000004">
      <c r="D430" s="13">
        <f t="shared" si="27"/>
        <v>0</v>
      </c>
      <c r="E430" s="14">
        <v>428</v>
      </c>
      <c r="F430" s="6">
        <v>12</v>
      </c>
      <c r="G430" s="6">
        <f>VLOOKUP(F430,監督フォーメーション!$A$2:$C$15,3,FALSE)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55000000000000004">
      <c r="D431" s="13">
        <f t="shared" si="27"/>
        <v>0</v>
      </c>
      <c r="E431" s="14">
        <v>429</v>
      </c>
      <c r="F431" s="6">
        <v>12</v>
      </c>
      <c r="G431" s="6">
        <f>VLOOKUP(F431,監督フォーメーション!$A$2:$C$15,3,FALSE)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55000000000000004">
      <c r="D432" s="13">
        <f t="shared" si="27"/>
        <v>0</v>
      </c>
      <c r="E432" s="14">
        <v>430</v>
      </c>
      <c r="F432" s="6">
        <v>12</v>
      </c>
      <c r="G432" s="6">
        <f>VLOOKUP(F432,監督フォーメーション!$A$2:$C$15,3,FALSE)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55000000000000004">
      <c r="D433" s="13">
        <f t="shared" si="27"/>
        <v>0</v>
      </c>
      <c r="E433" s="14">
        <v>431</v>
      </c>
      <c r="F433" s="6">
        <v>12</v>
      </c>
      <c r="G433" s="6">
        <f>VLOOKUP(F433,監督フォーメーション!$A$2:$C$15,3,FALSE)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55000000000000004">
      <c r="D434" s="13">
        <f t="shared" si="27"/>
        <v>0</v>
      </c>
      <c r="E434" s="14">
        <v>432</v>
      </c>
      <c r="F434" s="6">
        <v>12</v>
      </c>
      <c r="G434" s="6">
        <f>VLOOKUP(F434,監督フォーメーション!$A$2:$C$15,3,FALSE)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55000000000000004">
      <c r="D435" s="13">
        <f t="shared" si="27"/>
        <v>0</v>
      </c>
      <c r="E435" s="14">
        <v>433</v>
      </c>
      <c r="F435" s="6">
        <v>12</v>
      </c>
      <c r="G435" s="6">
        <f>VLOOKUP(F435,監督フォーメーション!$A$2:$C$15,3,FALSE)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55000000000000004">
      <c r="D436" s="13">
        <f t="shared" si="27"/>
        <v>0</v>
      </c>
      <c r="E436" s="14">
        <v>434</v>
      </c>
      <c r="F436" s="6">
        <v>12</v>
      </c>
      <c r="G436" s="6">
        <f>VLOOKUP(F436,監督フォーメーション!$A$2:$C$15,3,FALSE)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55000000000000004">
      <c r="D437" s="13">
        <f t="shared" si="27"/>
        <v>0</v>
      </c>
      <c r="E437" s="14">
        <v>435</v>
      </c>
      <c r="F437" s="6">
        <v>12</v>
      </c>
      <c r="G437" s="6">
        <f>VLOOKUP(F437,監督フォーメーション!$A$2:$C$15,3,FALSE)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55000000000000004">
      <c r="D438" s="13">
        <f t="shared" si="27"/>
        <v>0</v>
      </c>
      <c r="E438" s="14">
        <v>436</v>
      </c>
      <c r="F438" s="6">
        <v>12</v>
      </c>
      <c r="G438" s="6">
        <f>VLOOKUP(F438,監督フォーメーション!$A$2:$C$15,3,FALSE)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55000000000000004">
      <c r="D439" s="13">
        <f t="shared" si="27"/>
        <v>0</v>
      </c>
      <c r="E439" s="14">
        <v>437</v>
      </c>
      <c r="F439" s="6">
        <v>12</v>
      </c>
      <c r="G439" s="6">
        <f>VLOOKUP(F439,監督フォーメーション!$A$2:$C$15,3,FALSE)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55000000000000004">
      <c r="D440" s="13">
        <f t="shared" si="27"/>
        <v>0</v>
      </c>
      <c r="E440" s="14">
        <v>438</v>
      </c>
      <c r="F440" s="6">
        <v>12</v>
      </c>
      <c r="G440" s="6">
        <f>VLOOKUP(F440,監督フォーメーション!$A$2:$C$15,3,FALSE)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55000000000000004">
      <c r="D441" s="13">
        <f t="shared" si="27"/>
        <v>0</v>
      </c>
      <c r="E441" s="14">
        <v>439</v>
      </c>
      <c r="F441" s="6">
        <v>12</v>
      </c>
      <c r="G441" s="6">
        <f>VLOOKUP(F441,監督フォーメーション!$A$2:$C$15,3,FALSE)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55000000000000004">
      <c r="D442" s="13">
        <f t="shared" si="27"/>
        <v>0</v>
      </c>
      <c r="E442" s="14">
        <v>440</v>
      </c>
      <c r="F442" s="6">
        <v>12</v>
      </c>
      <c r="G442" s="6">
        <f>VLOOKUP(F442,監督フォーメーション!$A$2:$C$15,3,FALSE)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55000000000000004">
      <c r="D443" s="13">
        <f t="shared" si="27"/>
        <v>0</v>
      </c>
      <c r="E443" s="14">
        <v>441</v>
      </c>
      <c r="F443" s="6">
        <v>12</v>
      </c>
      <c r="G443" s="6">
        <f>VLOOKUP(F443,監督フォーメーション!$A$2:$C$15,3,FALSE)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55000000000000004">
      <c r="D444" s="13">
        <f t="shared" si="27"/>
        <v>0</v>
      </c>
      <c r="E444" s="14">
        <v>442</v>
      </c>
      <c r="F444" s="6">
        <v>12</v>
      </c>
      <c r="G444" s="6">
        <f>VLOOKUP(F444,監督フォーメーション!$A$2:$C$15,3,FALSE)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55000000000000004">
      <c r="D445" s="13">
        <f t="shared" si="27"/>
        <v>0</v>
      </c>
      <c r="E445" s="14">
        <v>443</v>
      </c>
      <c r="F445" s="6">
        <v>12</v>
      </c>
      <c r="G445" s="6">
        <f>VLOOKUP(F445,監督フォーメーション!$A$2:$C$15,3,FALSE)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55000000000000004">
      <c r="D446" s="13">
        <f t="shared" si="27"/>
        <v>0</v>
      </c>
      <c r="E446" s="14">
        <v>444</v>
      </c>
      <c r="F446" s="6">
        <v>12</v>
      </c>
      <c r="G446" s="6">
        <f>VLOOKUP(F446,監督フォーメーション!$A$2:$C$15,3,FALSE)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55000000000000004">
      <c r="D447" s="13">
        <f t="shared" si="27"/>
        <v>0</v>
      </c>
      <c r="E447" s="14">
        <v>445</v>
      </c>
      <c r="F447" s="6">
        <v>12</v>
      </c>
      <c r="G447" s="6">
        <f>VLOOKUP(F447,監督フォーメーション!$A$2:$C$15,3,FALSE)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55000000000000004">
      <c r="D448" s="13">
        <f t="shared" si="27"/>
        <v>0</v>
      </c>
      <c r="E448" s="14">
        <v>446</v>
      </c>
      <c r="F448" s="6">
        <v>12</v>
      </c>
      <c r="G448" s="6">
        <f>VLOOKUP(F448,監督フォーメーション!$A$2:$C$15,3,FALSE)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55000000000000004">
      <c r="D449" s="13">
        <f t="shared" si="27"/>
        <v>0</v>
      </c>
      <c r="E449" s="14">
        <v>447</v>
      </c>
      <c r="F449" s="6">
        <v>12</v>
      </c>
      <c r="G449" s="6">
        <f>VLOOKUP(F449,監督フォーメーション!$A$2:$C$15,3,FALSE)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55000000000000004">
      <c r="D450" s="13">
        <f t="shared" si="27"/>
        <v>0</v>
      </c>
      <c r="E450" s="14">
        <v>448</v>
      </c>
      <c r="F450" s="6">
        <v>12</v>
      </c>
      <c r="G450" s="6">
        <f>VLOOKUP(F450,監督フォーメーション!$A$2:$C$15,3,FALSE)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55000000000000004">
      <c r="D451" s="13">
        <f t="shared" si="27"/>
        <v>0</v>
      </c>
      <c r="E451" s="14">
        <v>449</v>
      </c>
      <c r="F451" s="6">
        <v>12</v>
      </c>
      <c r="G451" s="6">
        <f>VLOOKUP(F451,監督フォーメーション!$A$2:$C$15,3,FALSE)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55000000000000004">
      <c r="D452" s="13">
        <f t="shared" si="27"/>
        <v>0</v>
      </c>
      <c r="E452" s="14">
        <v>450</v>
      </c>
      <c r="F452" s="6">
        <v>12</v>
      </c>
      <c r="G452" s="6">
        <f>VLOOKUP(F452,監督フォーメーション!$A$2:$C$15,3,FALSE)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55000000000000004">
      <c r="D453" s="13">
        <f t="shared" si="27"/>
        <v>0</v>
      </c>
      <c r="E453" s="14">
        <v>451</v>
      </c>
      <c r="F453" s="6">
        <v>12</v>
      </c>
      <c r="G453" s="6">
        <f>VLOOKUP(F453,監督フォーメーション!$A$2:$C$15,3,FALSE)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55000000000000004">
      <c r="D454" s="13">
        <f t="shared" si="27"/>
        <v>0</v>
      </c>
      <c r="E454" s="14">
        <v>452</v>
      </c>
      <c r="F454" s="6">
        <v>12</v>
      </c>
      <c r="G454" s="6">
        <f>VLOOKUP(F454,監督フォーメーション!$A$2:$C$15,3,FALSE)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55000000000000004">
      <c r="D455" s="13">
        <f t="shared" si="27"/>
        <v>0</v>
      </c>
      <c r="E455" s="14">
        <v>453</v>
      </c>
      <c r="F455" s="6">
        <v>12</v>
      </c>
      <c r="G455" s="6">
        <f>VLOOKUP(F455,監督フォーメーション!$A$2:$C$15,3,FALSE)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55000000000000004">
      <c r="D456" s="13">
        <f t="shared" si="27"/>
        <v>0</v>
      </c>
      <c r="E456" s="14">
        <v>454</v>
      </c>
      <c r="F456" s="6">
        <v>12</v>
      </c>
      <c r="G456" s="6">
        <f>VLOOKUP(F456,監督フォーメーション!$A$2:$C$15,3,FALSE)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55000000000000004">
      <c r="D457" s="13">
        <f t="shared" si="27"/>
        <v>0</v>
      </c>
      <c r="E457" s="14">
        <v>455</v>
      </c>
      <c r="F457" s="6">
        <v>12</v>
      </c>
      <c r="G457" s="6">
        <f>VLOOKUP(F457,監督フォーメーション!$A$2:$C$15,3,FALSE)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55000000000000004">
      <c r="D458" s="13">
        <f t="shared" si="27"/>
        <v>0</v>
      </c>
      <c r="E458" s="14">
        <v>456</v>
      </c>
      <c r="F458" s="6">
        <v>12</v>
      </c>
      <c r="G458" s="6">
        <f>VLOOKUP(F458,監督フォーメーション!$A$2:$C$15,3,FALSE)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55000000000000004">
      <c r="D459" s="13">
        <f t="shared" si="27"/>
        <v>0</v>
      </c>
      <c r="E459" s="14">
        <v>457</v>
      </c>
      <c r="F459" s="6">
        <v>12</v>
      </c>
      <c r="G459" s="6">
        <f>VLOOKUP(F459,監督フォーメーション!$A$2:$C$15,3,FALSE)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55000000000000004">
      <c r="D460" s="13">
        <f t="shared" si="27"/>
        <v>0</v>
      </c>
      <c r="E460" s="14">
        <v>458</v>
      </c>
      <c r="F460" s="6">
        <v>12</v>
      </c>
      <c r="G460" s="6">
        <f>VLOOKUP(F460,監督フォーメーション!$A$2:$C$15,3,FALSE)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55000000000000004">
      <c r="D461" s="13">
        <f t="shared" si="27"/>
        <v>0</v>
      </c>
      <c r="E461" s="14">
        <v>459</v>
      </c>
      <c r="F461" s="6">
        <v>12</v>
      </c>
      <c r="G461" s="6">
        <f>VLOOKUP(F461,監督フォーメーション!$A$2:$C$15,3,FALSE)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55000000000000004">
      <c r="D462" s="13">
        <f t="shared" si="27"/>
        <v>0</v>
      </c>
      <c r="E462" s="14">
        <v>460</v>
      </c>
      <c r="F462" s="6">
        <v>12</v>
      </c>
      <c r="G462" s="6">
        <f>VLOOKUP(F462,監督フォーメーション!$A$2:$C$15,3,FALSE)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5500000000000000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5500000000000000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5500000000000000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5500000000000000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5500000000000000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5500000000000000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5500000000000000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5500000000000000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5500000000000000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5500000000000000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5500000000000000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5500000000000000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5500000000000000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5500000000000000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5500000000000000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5500000000000000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5500000000000000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5500000000000000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5500000000000000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5500000000000000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5500000000000000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5500000000000000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5500000000000000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5500000000000000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5500000000000000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5500000000000000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5500000000000000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5500000000000000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5500000000000000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5500000000000000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5500000000000000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5500000000000000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5500000000000000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5500000000000000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5500000000000000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5500000000000000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5500000000000000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5500000000000000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5500000000000000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5500000000000000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5500000000000000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5500000000000000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5500000000000000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5500000000000000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5500000000000000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5500000000000000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5500000000000000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5500000000000000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5500000000000000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5500000000000000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5500000000000000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5500000000000000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5500000000000000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5500000000000000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5500000000000000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5500000000000000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5500000000000000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5500000000000000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5500000000000000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5500000000000000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5500000000000000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5500000000000000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5500000000000000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5500000000000000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5500000000000000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5500000000000000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5500000000000000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5500000000000000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5500000000000000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5500000000000000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5500000000000000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5500000000000000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5500000000000000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5500000000000000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5500000000000000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5500000000000000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5500000000000000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5500000000000000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5500000000000000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5500000000000000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5500000000000000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5500000000000000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5500000000000000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5500000000000000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5500000000000000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5500000000000000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5500000000000000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5500000000000000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5500000000000000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5500000000000000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5500000000000000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5500000000000000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5500000000000000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5500000000000000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5500000000000000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5500000000000000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5500000000000000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5500000000000000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5500000000000000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5500000000000000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5500000000000000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5500000000000000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5500000000000000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5500000000000000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5500000000000000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5500000000000000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5500000000000000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5500000000000000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5500000000000000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5500000000000000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5500000000000000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5500000000000000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5500000000000000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5500000000000000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5500000000000000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5500000000000000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5500000000000000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5500000000000000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5500000000000000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5500000000000000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5500000000000000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5500000000000000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5500000000000000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5500000000000000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5500000000000000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5500000000000000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5500000000000000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5500000000000000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5500000000000000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5500000000000000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5500000000000000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5500000000000000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5500000000000000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5500000000000000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5500000000000000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5500000000000000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5500000000000000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5500000000000000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5500000000000000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5500000000000000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5500000000000000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5500000000000000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5500000000000000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5500000000000000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5500000000000000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5500000000000000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5500000000000000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5500000000000000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5500000000000000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5500000000000000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5500000000000000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5500000000000000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5500000000000000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5500000000000000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5500000000000000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5500000000000000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5500000000000000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5500000000000000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5500000000000000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5500000000000000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5500000000000000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5500000000000000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5500000000000000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5500000000000000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5500000000000000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5500000000000000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5500000000000000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5500000000000000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5500000000000000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5500000000000000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5500000000000000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5500000000000000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5500000000000000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5500000000000000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5500000000000000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5500000000000000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5500000000000000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5500000000000000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5500000000000000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5500000000000000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5500000000000000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5500000000000000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5500000000000000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5500000000000000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5500000000000000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5500000000000000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5500000000000000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5500000000000000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5500000000000000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5500000000000000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5500000000000000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5500000000000000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5500000000000000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5500000000000000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5500000000000000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5500000000000000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5500000000000000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5500000000000000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5500000000000000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5500000000000000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5500000000000000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5500000000000000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5500000000000000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5500000000000000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5500000000000000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5500000000000000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5500000000000000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5500000000000000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5500000000000000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5500000000000000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5500000000000000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5500000000000000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5500000000000000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5500000000000000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5500000000000000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5500000000000000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5500000000000000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5500000000000000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5500000000000000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5500000000000000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5500000000000000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5500000000000000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5500000000000000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5500000000000000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5500000000000000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5500000000000000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5500000000000000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5500000000000000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5500000000000000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5500000000000000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5500000000000000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5500000000000000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5500000000000000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5500000000000000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5500000000000000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5500000000000000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5500000000000000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5500000000000000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5500000000000000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5500000000000000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5500000000000000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5500000000000000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5500000000000000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5500000000000000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5500000000000000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5500000000000000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5500000000000000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5500000000000000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5500000000000000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5500000000000000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5500000000000000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5500000000000000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5500000000000000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5500000000000000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5500000000000000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5500000000000000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5500000000000000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5500000000000000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5500000000000000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5500000000000000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5500000000000000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5500000000000000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5500000000000000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5500000000000000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5500000000000000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5500000000000000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5500000000000000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5500000000000000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5500000000000000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5500000000000000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5500000000000000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5500000000000000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5500000000000000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5500000000000000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5500000000000000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5500000000000000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5500000000000000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5500000000000000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5500000000000000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5500000000000000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5500000000000000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5500000000000000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5500000000000000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5500000000000000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5500000000000000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5500000000000000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5500000000000000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5500000000000000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5500000000000000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5500000000000000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5500000000000000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5500000000000000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5500000000000000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5500000000000000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5500000000000000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5500000000000000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5500000000000000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5500000000000000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5500000000000000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5500000000000000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5500000000000000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5500000000000000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5500000000000000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5500000000000000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5500000000000000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5500000000000000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5500000000000000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5500000000000000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5500000000000000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5500000000000000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5500000000000000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5500000000000000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5500000000000000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5500000000000000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5500000000000000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5500000000000000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5500000000000000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5500000000000000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5500000000000000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5500000000000000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5500000000000000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5500000000000000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5500000000000000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5500000000000000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5500000000000000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5500000000000000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5500000000000000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5500000000000000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5500000000000000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5500000000000000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5500000000000000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5500000000000000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5500000000000000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5500000000000000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5500000000000000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5500000000000000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5500000000000000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5500000000000000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5500000000000000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5500000000000000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5500000000000000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5500000000000000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5500000000000000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5500000000000000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5500000000000000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5500000000000000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5500000000000000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5500000000000000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5500000000000000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5500000000000000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5500000000000000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5500000000000000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5500000000000000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55000000000000004">
      <c r="M816" s="15"/>
      <c r="AB816" s="21" t="str">
        <f t="shared" ref="AB816:AB847" si="29">IF(AA816="失点","失点","")</f>
        <v/>
      </c>
    </row>
    <row r="817" spans="13:28" x14ac:dyDescent="0.55000000000000004">
      <c r="M817" s="15"/>
      <c r="AB817" s="21" t="str">
        <f t="shared" si="29"/>
        <v/>
      </c>
    </row>
    <row r="818" spans="13:28" x14ac:dyDescent="0.55000000000000004">
      <c r="M818" s="15"/>
      <c r="AB818" s="21" t="str">
        <f t="shared" si="29"/>
        <v/>
      </c>
    </row>
    <row r="819" spans="13:28" x14ac:dyDescent="0.55000000000000004">
      <c r="M819" s="15"/>
      <c r="AB819" s="21" t="str">
        <f t="shared" si="29"/>
        <v/>
      </c>
    </row>
    <row r="820" spans="13:28" x14ac:dyDescent="0.55000000000000004">
      <c r="M820" s="15"/>
      <c r="AB820" s="21" t="str">
        <f t="shared" si="29"/>
        <v/>
      </c>
    </row>
    <row r="821" spans="13:28" x14ac:dyDescent="0.55000000000000004">
      <c r="M821" s="15"/>
      <c r="AB821" s="21" t="str">
        <f t="shared" si="29"/>
        <v/>
      </c>
    </row>
    <row r="822" spans="13:28" x14ac:dyDescent="0.55000000000000004">
      <c r="M822" s="15"/>
      <c r="AB822" s="21" t="str">
        <f t="shared" si="29"/>
        <v/>
      </c>
    </row>
    <row r="823" spans="13:28" x14ac:dyDescent="0.55000000000000004">
      <c r="M823" s="15"/>
      <c r="AB823" s="21" t="str">
        <f t="shared" si="29"/>
        <v/>
      </c>
    </row>
    <row r="824" spans="13:28" x14ac:dyDescent="0.55000000000000004">
      <c r="M824" s="15"/>
      <c r="AB824" s="21" t="str">
        <f t="shared" si="29"/>
        <v/>
      </c>
    </row>
    <row r="825" spans="13:28" x14ac:dyDescent="0.55000000000000004">
      <c r="M825" s="15"/>
      <c r="AB825" s="21" t="str">
        <f t="shared" si="29"/>
        <v/>
      </c>
    </row>
    <row r="826" spans="13:28" x14ac:dyDescent="0.55000000000000004">
      <c r="M826" s="15"/>
      <c r="AB826" s="21" t="str">
        <f t="shared" si="29"/>
        <v/>
      </c>
    </row>
    <row r="827" spans="13:28" x14ac:dyDescent="0.55000000000000004">
      <c r="M827" s="15"/>
      <c r="AB827" s="21" t="str">
        <f t="shared" si="29"/>
        <v/>
      </c>
    </row>
    <row r="828" spans="13:28" x14ac:dyDescent="0.55000000000000004">
      <c r="M828" s="15"/>
      <c r="AB828" s="21" t="str">
        <f t="shared" si="29"/>
        <v/>
      </c>
    </row>
    <row r="829" spans="13:28" x14ac:dyDescent="0.55000000000000004">
      <c r="M829" s="15"/>
      <c r="AB829" s="21" t="str">
        <f t="shared" si="29"/>
        <v/>
      </c>
    </row>
    <row r="830" spans="13:28" x14ac:dyDescent="0.55000000000000004">
      <c r="M830" s="15"/>
      <c r="AB830" s="21" t="str">
        <f t="shared" si="29"/>
        <v/>
      </c>
    </row>
    <row r="831" spans="13:28" x14ac:dyDescent="0.55000000000000004">
      <c r="M831" s="15"/>
      <c r="AB831" s="21" t="str">
        <f t="shared" si="29"/>
        <v/>
      </c>
    </row>
    <row r="832" spans="13:28" x14ac:dyDescent="0.55000000000000004">
      <c r="M832" s="15"/>
      <c r="AB832" s="21" t="str">
        <f t="shared" si="29"/>
        <v/>
      </c>
    </row>
    <row r="833" spans="13:28" x14ac:dyDescent="0.55000000000000004">
      <c r="M833" s="15"/>
      <c r="AB833" s="21" t="str">
        <f t="shared" si="29"/>
        <v/>
      </c>
    </row>
    <row r="834" spans="13:28" x14ac:dyDescent="0.55000000000000004">
      <c r="M834" s="15"/>
      <c r="AB834" s="21" t="str">
        <f t="shared" si="29"/>
        <v/>
      </c>
    </row>
    <row r="835" spans="13:28" x14ac:dyDescent="0.55000000000000004">
      <c r="M835" s="15"/>
      <c r="AB835" s="21" t="str">
        <f t="shared" si="29"/>
        <v/>
      </c>
    </row>
    <row r="836" spans="13:28" x14ac:dyDescent="0.55000000000000004">
      <c r="M836" s="15"/>
      <c r="AB836" s="21" t="str">
        <f t="shared" si="29"/>
        <v/>
      </c>
    </row>
    <row r="837" spans="13:28" x14ac:dyDescent="0.55000000000000004">
      <c r="M837" s="15"/>
      <c r="AB837" s="21" t="str">
        <f t="shared" si="29"/>
        <v/>
      </c>
    </row>
    <row r="838" spans="13:28" x14ac:dyDescent="0.55000000000000004">
      <c r="M838" s="15"/>
      <c r="AB838" s="21" t="str">
        <f t="shared" si="29"/>
        <v/>
      </c>
    </row>
    <row r="839" spans="13:28" x14ac:dyDescent="0.55000000000000004">
      <c r="M839" s="15"/>
      <c r="AB839" s="21" t="str">
        <f t="shared" si="29"/>
        <v/>
      </c>
    </row>
    <row r="840" spans="13:28" x14ac:dyDescent="0.55000000000000004">
      <c r="M840" s="15"/>
      <c r="AB840" s="21" t="str">
        <f t="shared" si="29"/>
        <v/>
      </c>
    </row>
    <row r="841" spans="13:28" x14ac:dyDescent="0.55000000000000004">
      <c r="M841" s="15"/>
      <c r="AB841" s="21" t="str">
        <f t="shared" si="29"/>
        <v/>
      </c>
    </row>
    <row r="842" spans="13:28" x14ac:dyDescent="0.55000000000000004">
      <c r="M842" s="15"/>
      <c r="AB842" s="21" t="str">
        <f t="shared" si="29"/>
        <v/>
      </c>
    </row>
    <row r="843" spans="13:28" x14ac:dyDescent="0.55000000000000004">
      <c r="M843" s="15"/>
      <c r="AB843" s="21" t="str">
        <f t="shared" si="29"/>
        <v/>
      </c>
    </row>
    <row r="844" spans="13:28" x14ac:dyDescent="0.55000000000000004">
      <c r="M844" s="15"/>
      <c r="AB844" s="21" t="str">
        <f t="shared" si="29"/>
        <v/>
      </c>
    </row>
    <row r="845" spans="13:28" x14ac:dyDescent="0.55000000000000004">
      <c r="M845" s="15"/>
      <c r="AB845" s="21" t="str">
        <f t="shared" si="29"/>
        <v/>
      </c>
    </row>
    <row r="846" spans="13:28" x14ac:dyDescent="0.55000000000000004">
      <c r="M846" s="15"/>
      <c r="AB846" s="21" t="str">
        <f t="shared" si="29"/>
        <v/>
      </c>
    </row>
    <row r="847" spans="13:28" x14ac:dyDescent="0.55000000000000004">
      <c r="M847" s="15"/>
      <c r="AB847" s="21" t="str">
        <f t="shared" si="29"/>
        <v/>
      </c>
    </row>
    <row r="848" spans="13:28" x14ac:dyDescent="0.55000000000000004">
      <c r="M848" s="15"/>
      <c r="AB848" s="21" t="str">
        <f t="shared" ref="AB848:AB879" si="30">IF(AA848="失点","失点","")</f>
        <v/>
      </c>
    </row>
    <row r="849" spans="13:28" x14ac:dyDescent="0.55000000000000004">
      <c r="M849" s="15"/>
      <c r="AB849" s="21" t="str">
        <f t="shared" si="30"/>
        <v/>
      </c>
    </row>
    <row r="850" spans="13:28" x14ac:dyDescent="0.55000000000000004">
      <c r="M850" s="15"/>
      <c r="AB850" s="21" t="str">
        <f t="shared" si="30"/>
        <v/>
      </c>
    </row>
    <row r="851" spans="13:28" x14ac:dyDescent="0.55000000000000004">
      <c r="M851" s="15"/>
      <c r="AB851" s="21" t="str">
        <f t="shared" si="30"/>
        <v/>
      </c>
    </row>
    <row r="852" spans="13:28" x14ac:dyDescent="0.55000000000000004">
      <c r="M852" s="15"/>
      <c r="AB852" s="21" t="str">
        <f t="shared" si="30"/>
        <v/>
      </c>
    </row>
    <row r="853" spans="13:28" x14ac:dyDescent="0.55000000000000004">
      <c r="M853" s="15"/>
      <c r="AB853" s="21" t="str">
        <f t="shared" si="30"/>
        <v/>
      </c>
    </row>
    <row r="854" spans="13:28" x14ac:dyDescent="0.55000000000000004">
      <c r="M854" s="15"/>
      <c r="AB854" s="21" t="str">
        <f t="shared" si="30"/>
        <v/>
      </c>
    </row>
    <row r="855" spans="13:28" x14ac:dyDescent="0.55000000000000004">
      <c r="M855" s="15"/>
      <c r="AB855" s="21" t="str">
        <f t="shared" si="30"/>
        <v/>
      </c>
    </row>
    <row r="856" spans="13:28" x14ac:dyDescent="0.55000000000000004">
      <c r="M856" s="15"/>
      <c r="AB856" s="21" t="str">
        <f t="shared" si="30"/>
        <v/>
      </c>
    </row>
    <row r="857" spans="13:28" x14ac:dyDescent="0.55000000000000004">
      <c r="M857" s="15"/>
      <c r="AB857" s="21" t="str">
        <f t="shared" si="30"/>
        <v/>
      </c>
    </row>
    <row r="858" spans="13:28" x14ac:dyDescent="0.55000000000000004">
      <c r="M858" s="15"/>
      <c r="AB858" s="21" t="str">
        <f t="shared" si="30"/>
        <v/>
      </c>
    </row>
    <row r="859" spans="13:28" x14ac:dyDescent="0.55000000000000004">
      <c r="M859" s="15"/>
      <c r="AB859" s="21" t="str">
        <f t="shared" si="30"/>
        <v/>
      </c>
    </row>
    <row r="860" spans="13:28" x14ac:dyDescent="0.55000000000000004">
      <c r="M860" s="15"/>
      <c r="AB860" s="21" t="str">
        <f t="shared" si="30"/>
        <v/>
      </c>
    </row>
    <row r="861" spans="13:28" x14ac:dyDescent="0.55000000000000004">
      <c r="M861" s="15"/>
      <c r="AB861" s="21" t="str">
        <f t="shared" si="30"/>
        <v/>
      </c>
    </row>
    <row r="862" spans="13:28" x14ac:dyDescent="0.55000000000000004">
      <c r="M862" s="15"/>
      <c r="AB862" s="21" t="str">
        <f t="shared" si="30"/>
        <v/>
      </c>
    </row>
    <row r="863" spans="13:28" x14ac:dyDescent="0.55000000000000004">
      <c r="M863" s="15"/>
      <c r="AB863" s="21" t="str">
        <f t="shared" si="30"/>
        <v/>
      </c>
    </row>
    <row r="864" spans="13:28" x14ac:dyDescent="0.55000000000000004">
      <c r="M864" s="15"/>
      <c r="AB864" s="21" t="str">
        <f t="shared" si="30"/>
        <v/>
      </c>
    </row>
    <row r="865" spans="13:28" x14ac:dyDescent="0.55000000000000004">
      <c r="M865" s="15"/>
      <c r="AB865" s="21" t="str">
        <f t="shared" si="30"/>
        <v/>
      </c>
    </row>
    <row r="866" spans="13:28" x14ac:dyDescent="0.55000000000000004">
      <c r="M866" s="15"/>
      <c r="AB866" s="21" t="str">
        <f t="shared" si="30"/>
        <v/>
      </c>
    </row>
    <row r="867" spans="13:28" x14ac:dyDescent="0.55000000000000004">
      <c r="M867" s="15"/>
      <c r="AB867" s="21" t="str">
        <f t="shared" si="30"/>
        <v/>
      </c>
    </row>
    <row r="868" spans="13:28" x14ac:dyDescent="0.55000000000000004">
      <c r="M868" s="15"/>
      <c r="AB868" s="21" t="str">
        <f t="shared" si="30"/>
        <v/>
      </c>
    </row>
    <row r="869" spans="13:28" x14ac:dyDescent="0.55000000000000004">
      <c r="M869" s="15"/>
      <c r="AB869" s="21" t="str">
        <f t="shared" si="30"/>
        <v/>
      </c>
    </row>
    <row r="870" spans="13:28" x14ac:dyDescent="0.55000000000000004">
      <c r="M870" s="15"/>
      <c r="AB870" s="21" t="str">
        <f t="shared" si="30"/>
        <v/>
      </c>
    </row>
    <row r="871" spans="13:28" x14ac:dyDescent="0.55000000000000004">
      <c r="M871" s="15"/>
      <c r="AB871" s="21" t="str">
        <f t="shared" si="30"/>
        <v/>
      </c>
    </row>
    <row r="872" spans="13:28" x14ac:dyDescent="0.55000000000000004">
      <c r="M872" s="15"/>
      <c r="AB872" s="21" t="str">
        <f t="shared" si="30"/>
        <v/>
      </c>
    </row>
    <row r="873" spans="13:28" x14ac:dyDescent="0.55000000000000004">
      <c r="M873" s="15"/>
      <c r="AB873" s="21" t="str">
        <f t="shared" si="30"/>
        <v/>
      </c>
    </row>
    <row r="874" spans="13:28" x14ac:dyDescent="0.55000000000000004">
      <c r="M874" s="15"/>
      <c r="AB874" s="21" t="str">
        <f t="shared" si="30"/>
        <v/>
      </c>
    </row>
    <row r="875" spans="13:28" x14ac:dyDescent="0.55000000000000004">
      <c r="M875" s="15"/>
      <c r="AB875" s="21" t="str">
        <f t="shared" si="30"/>
        <v/>
      </c>
    </row>
    <row r="876" spans="13:28" x14ac:dyDescent="0.55000000000000004">
      <c r="M876" s="15"/>
      <c r="AB876" s="21" t="str">
        <f t="shared" si="30"/>
        <v/>
      </c>
    </row>
    <row r="877" spans="13:28" x14ac:dyDescent="0.55000000000000004">
      <c r="M877" s="15"/>
      <c r="AB877" s="21" t="str">
        <f t="shared" si="30"/>
        <v/>
      </c>
    </row>
    <row r="878" spans="13:28" x14ac:dyDescent="0.55000000000000004">
      <c r="M878" s="15"/>
      <c r="AB878" s="21" t="str">
        <f t="shared" si="30"/>
        <v/>
      </c>
    </row>
    <row r="879" spans="13:28" x14ac:dyDescent="0.55000000000000004">
      <c r="M879" s="15"/>
      <c r="AB879" s="21" t="str">
        <f t="shared" si="30"/>
        <v/>
      </c>
    </row>
    <row r="880" spans="13:28" x14ac:dyDescent="0.55000000000000004">
      <c r="M880" s="15"/>
      <c r="AB880" s="21" t="str">
        <f t="shared" ref="AB880:AB897" si="31">IF(AA880="失点","失点","")</f>
        <v/>
      </c>
    </row>
    <row r="881" spans="13:28" x14ac:dyDescent="0.55000000000000004">
      <c r="M881" s="15"/>
      <c r="AB881" s="21" t="str">
        <f t="shared" si="31"/>
        <v/>
      </c>
    </row>
    <row r="882" spans="13:28" x14ac:dyDescent="0.55000000000000004">
      <c r="M882" s="15"/>
      <c r="AB882" s="21" t="str">
        <f t="shared" si="31"/>
        <v/>
      </c>
    </row>
    <row r="883" spans="13:28" x14ac:dyDescent="0.55000000000000004">
      <c r="M883" s="15"/>
      <c r="AB883" s="21" t="str">
        <f t="shared" si="31"/>
        <v/>
      </c>
    </row>
    <row r="884" spans="13:28" x14ac:dyDescent="0.55000000000000004">
      <c r="M884" s="15"/>
      <c r="AB884" s="21" t="str">
        <f t="shared" si="31"/>
        <v/>
      </c>
    </row>
    <row r="885" spans="13:28" x14ac:dyDescent="0.55000000000000004">
      <c r="M885" s="15"/>
      <c r="AB885" s="21" t="str">
        <f t="shared" si="31"/>
        <v/>
      </c>
    </row>
    <row r="886" spans="13:28" x14ac:dyDescent="0.55000000000000004">
      <c r="M886" s="15"/>
      <c r="AB886" s="21" t="str">
        <f t="shared" si="31"/>
        <v/>
      </c>
    </row>
    <row r="887" spans="13:28" x14ac:dyDescent="0.55000000000000004">
      <c r="M887" s="15"/>
      <c r="AB887" s="21" t="str">
        <f t="shared" si="31"/>
        <v/>
      </c>
    </row>
    <row r="888" spans="13:28" x14ac:dyDescent="0.55000000000000004">
      <c r="M888" s="15"/>
      <c r="AB888" s="21" t="str">
        <f t="shared" si="31"/>
        <v/>
      </c>
    </row>
    <row r="889" spans="13:28" x14ac:dyDescent="0.55000000000000004">
      <c r="M889" s="15"/>
      <c r="AB889" s="21" t="str">
        <f t="shared" si="31"/>
        <v/>
      </c>
    </row>
    <row r="890" spans="13:28" x14ac:dyDescent="0.55000000000000004">
      <c r="M890" s="15"/>
      <c r="AB890" s="21" t="str">
        <f t="shared" si="31"/>
        <v/>
      </c>
    </row>
    <row r="891" spans="13:28" x14ac:dyDescent="0.55000000000000004">
      <c r="M891" s="15"/>
      <c r="AB891" s="21" t="str">
        <f t="shared" si="31"/>
        <v/>
      </c>
    </row>
    <row r="892" spans="13:28" x14ac:dyDescent="0.55000000000000004">
      <c r="M892" s="15"/>
      <c r="AB892" s="21" t="str">
        <f t="shared" si="31"/>
        <v/>
      </c>
    </row>
    <row r="893" spans="13:28" x14ac:dyDescent="0.55000000000000004">
      <c r="M893" s="15"/>
      <c r="AB893" s="21" t="str">
        <f t="shared" si="31"/>
        <v/>
      </c>
    </row>
    <row r="894" spans="13:28" x14ac:dyDescent="0.55000000000000004">
      <c r="M894" s="15"/>
      <c r="AB894" s="21" t="str">
        <f t="shared" si="31"/>
        <v/>
      </c>
    </row>
    <row r="895" spans="13:28" x14ac:dyDescent="0.55000000000000004">
      <c r="M895" s="15"/>
      <c r="AB895" s="21" t="str">
        <f t="shared" si="31"/>
        <v/>
      </c>
    </row>
    <row r="896" spans="13:28" x14ac:dyDescent="0.55000000000000004">
      <c r="M896" s="15"/>
      <c r="AB896" s="21" t="str">
        <f t="shared" si="31"/>
        <v/>
      </c>
    </row>
    <row r="897" spans="13:28" x14ac:dyDescent="0.55000000000000004">
      <c r="M897" s="15"/>
      <c r="AB897" s="21" t="str">
        <f t="shared" si="31"/>
        <v/>
      </c>
    </row>
    <row r="898" spans="13:28" x14ac:dyDescent="0.55000000000000004">
      <c r="M898" s="15"/>
    </row>
    <row r="899" spans="13:28" x14ac:dyDescent="0.55000000000000004">
      <c r="M899" s="15"/>
    </row>
    <row r="900" spans="13:28" x14ac:dyDescent="0.55000000000000004">
      <c r="M900" s="15"/>
    </row>
    <row r="901" spans="13:28" x14ac:dyDescent="0.55000000000000004">
      <c r="M901" s="15"/>
    </row>
    <row r="902" spans="13:28" x14ac:dyDescent="0.55000000000000004">
      <c r="M902" s="15"/>
    </row>
    <row r="903" spans="13:28" x14ac:dyDescent="0.55000000000000004">
      <c r="M903" s="15"/>
    </row>
    <row r="904" spans="13:28" x14ac:dyDescent="0.55000000000000004">
      <c r="M904" s="15"/>
    </row>
    <row r="905" spans="13:28" x14ac:dyDescent="0.55000000000000004">
      <c r="M905" s="15"/>
    </row>
    <row r="906" spans="13:28" x14ac:dyDescent="0.55000000000000004">
      <c r="M906" s="15"/>
    </row>
    <row r="907" spans="13:28" x14ac:dyDescent="0.55000000000000004">
      <c r="M907" s="15"/>
    </row>
    <row r="908" spans="13:28" x14ac:dyDescent="0.55000000000000004">
      <c r="M908" s="15"/>
    </row>
    <row r="909" spans="13:28" x14ac:dyDescent="0.55000000000000004">
      <c r="M909" s="15"/>
    </row>
    <row r="910" spans="13:28" x14ac:dyDescent="0.55000000000000004">
      <c r="M910" s="15"/>
    </row>
    <row r="911" spans="13:28" x14ac:dyDescent="0.55000000000000004">
      <c r="M911" s="15"/>
    </row>
    <row r="912" spans="13:28" x14ac:dyDescent="0.55000000000000004">
      <c r="M912" s="15"/>
    </row>
    <row r="913" spans="13:13" x14ac:dyDescent="0.55000000000000004">
      <c r="M913" s="15"/>
    </row>
    <row r="914" spans="13:13" x14ac:dyDescent="0.55000000000000004">
      <c r="M914" s="15"/>
    </row>
    <row r="915" spans="13:13" x14ac:dyDescent="0.55000000000000004">
      <c r="M915" s="15"/>
    </row>
    <row r="916" spans="13:13" x14ac:dyDescent="0.55000000000000004">
      <c r="M916" s="15"/>
    </row>
    <row r="917" spans="13:13" x14ac:dyDescent="0.55000000000000004">
      <c r="M917" s="15"/>
    </row>
    <row r="918" spans="13:13" x14ac:dyDescent="0.55000000000000004">
      <c r="M918" s="15"/>
    </row>
    <row r="919" spans="13:13" x14ac:dyDescent="0.55000000000000004">
      <c r="M919" s="15"/>
    </row>
    <row r="920" spans="13:13" x14ac:dyDescent="0.55000000000000004">
      <c r="M920" s="15"/>
    </row>
    <row r="921" spans="13:13" x14ac:dyDescent="0.55000000000000004">
      <c r="M921" s="15"/>
    </row>
    <row r="922" spans="13:13" x14ac:dyDescent="0.55000000000000004">
      <c r="M922" s="15"/>
    </row>
    <row r="923" spans="13:13" x14ac:dyDescent="0.55000000000000004">
      <c r="M923" s="15"/>
    </row>
    <row r="924" spans="13:13" x14ac:dyDescent="0.55000000000000004">
      <c r="M924" s="15"/>
    </row>
    <row r="925" spans="13:13" x14ac:dyDescent="0.55000000000000004">
      <c r="M925" s="15"/>
    </row>
    <row r="926" spans="13:13" x14ac:dyDescent="0.55000000000000004">
      <c r="M926" s="15"/>
    </row>
    <row r="927" spans="13:13" x14ac:dyDescent="0.55000000000000004">
      <c r="M927" s="15"/>
    </row>
    <row r="928" spans="13:13" x14ac:dyDescent="0.55000000000000004">
      <c r="M928" s="15"/>
    </row>
    <row r="929" spans="13:13" x14ac:dyDescent="0.55000000000000004">
      <c r="M929" s="15"/>
    </row>
    <row r="930" spans="13:13" x14ac:dyDescent="0.55000000000000004">
      <c r="M930" s="15"/>
    </row>
    <row r="931" spans="13:13" x14ac:dyDescent="0.55000000000000004">
      <c r="M931" s="15"/>
    </row>
    <row r="932" spans="13:13" x14ac:dyDescent="0.55000000000000004">
      <c r="M932" s="15"/>
    </row>
    <row r="933" spans="13:13" x14ac:dyDescent="0.55000000000000004">
      <c r="M933" s="15"/>
    </row>
    <row r="934" spans="13:13" x14ac:dyDescent="0.55000000000000004">
      <c r="M934" s="15"/>
    </row>
    <row r="935" spans="13:13" x14ac:dyDescent="0.55000000000000004">
      <c r="M935" s="15"/>
    </row>
    <row r="936" spans="13:13" x14ac:dyDescent="0.55000000000000004">
      <c r="M936" s="15"/>
    </row>
    <row r="937" spans="13:13" x14ac:dyDescent="0.55000000000000004">
      <c r="M937" s="15"/>
    </row>
    <row r="938" spans="13:13" x14ac:dyDescent="0.55000000000000004">
      <c r="M938" s="15"/>
    </row>
    <row r="939" spans="13:13" x14ac:dyDescent="0.55000000000000004">
      <c r="M939" s="15"/>
    </row>
    <row r="940" spans="13:13" x14ac:dyDescent="0.55000000000000004">
      <c r="M940" s="15"/>
    </row>
    <row r="941" spans="13:13" x14ac:dyDescent="0.55000000000000004">
      <c r="M941" s="15"/>
    </row>
    <row r="942" spans="13:13" x14ac:dyDescent="0.55000000000000004">
      <c r="M942" s="15"/>
    </row>
    <row r="943" spans="13:13" x14ac:dyDescent="0.55000000000000004">
      <c r="M943" s="15"/>
    </row>
    <row r="944" spans="13:13" x14ac:dyDescent="0.55000000000000004">
      <c r="M944" s="15"/>
    </row>
    <row r="945" spans="13:13" x14ac:dyDescent="0.55000000000000004">
      <c r="M945" s="15"/>
    </row>
    <row r="946" spans="13:13" x14ac:dyDescent="0.55000000000000004">
      <c r="M946" s="15"/>
    </row>
    <row r="947" spans="13:13" x14ac:dyDescent="0.55000000000000004">
      <c r="M947" s="15"/>
    </row>
    <row r="948" spans="13:13" x14ac:dyDescent="0.55000000000000004">
      <c r="M948" s="15"/>
    </row>
    <row r="949" spans="13:13" x14ac:dyDescent="0.55000000000000004">
      <c r="M949" s="15"/>
    </row>
    <row r="950" spans="13:13" x14ac:dyDescent="0.55000000000000004">
      <c r="M950" s="15"/>
    </row>
    <row r="951" spans="13:13" x14ac:dyDescent="0.55000000000000004">
      <c r="M951" s="15"/>
    </row>
    <row r="952" spans="13:13" x14ac:dyDescent="0.55000000000000004">
      <c r="M952" s="15"/>
    </row>
    <row r="953" spans="13:13" x14ac:dyDescent="0.55000000000000004">
      <c r="M953" s="15"/>
    </row>
    <row r="954" spans="13:13" x14ac:dyDescent="0.55000000000000004">
      <c r="M954" s="15"/>
    </row>
    <row r="955" spans="13:13" x14ac:dyDescent="0.55000000000000004">
      <c r="M955" s="15"/>
    </row>
    <row r="956" spans="13:13" x14ac:dyDescent="0.55000000000000004">
      <c r="M956" s="15"/>
    </row>
    <row r="957" spans="13:13" x14ac:dyDescent="0.55000000000000004">
      <c r="M957" s="15"/>
    </row>
    <row r="958" spans="13:13" x14ac:dyDescent="0.55000000000000004">
      <c r="M958" s="15"/>
    </row>
    <row r="959" spans="13:13" x14ac:dyDescent="0.55000000000000004">
      <c r="M959" s="15"/>
    </row>
    <row r="960" spans="13:13" x14ac:dyDescent="0.55000000000000004">
      <c r="M960" s="15"/>
    </row>
    <row r="961" spans="13:13" x14ac:dyDescent="0.55000000000000004">
      <c r="M961" s="15"/>
    </row>
    <row r="962" spans="13:13" x14ac:dyDescent="0.55000000000000004">
      <c r="M962" s="15"/>
    </row>
    <row r="963" spans="13:13" x14ac:dyDescent="0.55000000000000004">
      <c r="M963" s="15"/>
    </row>
    <row r="964" spans="13:13" x14ac:dyDescent="0.55000000000000004">
      <c r="M964" s="15"/>
    </row>
    <row r="965" spans="13:13" x14ac:dyDescent="0.55000000000000004">
      <c r="M965" s="15"/>
    </row>
    <row r="966" spans="13:13" x14ac:dyDescent="0.55000000000000004">
      <c r="M966" s="15"/>
    </row>
    <row r="967" spans="13:13" x14ac:dyDescent="0.55000000000000004">
      <c r="M967" s="15"/>
    </row>
    <row r="968" spans="13:13" x14ac:dyDescent="0.55000000000000004">
      <c r="M968" s="15"/>
    </row>
    <row r="969" spans="13:13" x14ac:dyDescent="0.55000000000000004">
      <c r="M969" s="15"/>
    </row>
    <row r="970" spans="13:13" x14ac:dyDescent="0.55000000000000004">
      <c r="M970" s="15"/>
    </row>
    <row r="971" spans="13:13" x14ac:dyDescent="0.55000000000000004">
      <c r="M971" s="15"/>
    </row>
    <row r="972" spans="13:13" x14ac:dyDescent="0.55000000000000004">
      <c r="M972" s="15"/>
    </row>
    <row r="973" spans="13:13" x14ac:dyDescent="0.55000000000000004">
      <c r="M973" s="15"/>
    </row>
    <row r="974" spans="13:13" x14ac:dyDescent="0.55000000000000004">
      <c r="M974" s="15"/>
    </row>
    <row r="975" spans="13:13" x14ac:dyDescent="0.55000000000000004">
      <c r="M975" s="15"/>
    </row>
    <row r="976" spans="13:13" x14ac:dyDescent="0.55000000000000004">
      <c r="M976" s="15"/>
    </row>
    <row r="977" spans="13:13" x14ac:dyDescent="0.55000000000000004">
      <c r="M977" s="15"/>
    </row>
    <row r="978" spans="13:13" x14ac:dyDescent="0.55000000000000004">
      <c r="M978" s="15"/>
    </row>
    <row r="979" spans="13:13" x14ac:dyDescent="0.55000000000000004">
      <c r="M979" s="15"/>
    </row>
    <row r="980" spans="13:13" x14ac:dyDescent="0.55000000000000004">
      <c r="M980" s="15"/>
    </row>
    <row r="981" spans="13:13" x14ac:dyDescent="0.55000000000000004">
      <c r="M981" s="15"/>
    </row>
    <row r="982" spans="13:13" x14ac:dyDescent="0.55000000000000004">
      <c r="M982" s="15"/>
    </row>
    <row r="983" spans="13:13" x14ac:dyDescent="0.55000000000000004">
      <c r="M983" s="15"/>
    </row>
    <row r="984" spans="13:13" x14ac:dyDescent="0.55000000000000004">
      <c r="M984" s="15"/>
    </row>
    <row r="985" spans="13:13" x14ac:dyDescent="0.55000000000000004">
      <c r="M985" s="15"/>
    </row>
    <row r="986" spans="13:13" x14ac:dyDescent="0.55000000000000004">
      <c r="M986" s="15"/>
    </row>
    <row r="987" spans="13:13" x14ac:dyDescent="0.55000000000000004">
      <c r="M987" s="15"/>
    </row>
    <row r="988" spans="13:13" x14ac:dyDescent="0.55000000000000004">
      <c r="M988" s="15"/>
    </row>
    <row r="989" spans="13:13" x14ac:dyDescent="0.55000000000000004">
      <c r="M989" s="15"/>
    </row>
    <row r="990" spans="13:13" x14ac:dyDescent="0.55000000000000004">
      <c r="M990" s="15"/>
    </row>
    <row r="991" spans="13:13" x14ac:dyDescent="0.55000000000000004">
      <c r="M991" s="15"/>
    </row>
    <row r="992" spans="13:13" x14ac:dyDescent="0.55000000000000004">
      <c r="M992" s="15"/>
    </row>
    <row r="993" spans="13:13" x14ac:dyDescent="0.55000000000000004">
      <c r="M993" s="15"/>
    </row>
    <row r="994" spans="13:13" x14ac:dyDescent="0.55000000000000004">
      <c r="M994" s="15"/>
    </row>
    <row r="995" spans="13:13" x14ac:dyDescent="0.55000000000000004">
      <c r="M995" s="15"/>
    </row>
    <row r="996" spans="13:13" x14ac:dyDescent="0.55000000000000004">
      <c r="M996" s="15"/>
    </row>
    <row r="997" spans="13:13" x14ac:dyDescent="0.55000000000000004">
      <c r="M997" s="15"/>
    </row>
    <row r="998" spans="13:13" x14ac:dyDescent="0.55000000000000004">
      <c r="M998" s="15"/>
    </row>
    <row r="999" spans="13:13" x14ac:dyDescent="0.55000000000000004">
      <c r="M999" s="15"/>
    </row>
    <row r="1000" spans="13:13" x14ac:dyDescent="0.55000000000000004">
      <c r="M1000" s="15"/>
    </row>
    <row r="1001" spans="13:13" x14ac:dyDescent="0.55000000000000004">
      <c r="M1001" s="15"/>
    </row>
    <row r="1002" spans="13:13" x14ac:dyDescent="0.55000000000000004">
      <c r="M1002" s="15"/>
    </row>
    <row r="1003" spans="13:13" x14ac:dyDescent="0.55000000000000004">
      <c r="M1003" s="15"/>
    </row>
    <row r="1004" spans="13:13" x14ac:dyDescent="0.55000000000000004">
      <c r="M1004" s="15"/>
    </row>
    <row r="1005" spans="13:13" x14ac:dyDescent="0.55000000000000004">
      <c r="M1005" s="15"/>
    </row>
    <row r="1006" spans="13:13" x14ac:dyDescent="0.55000000000000004">
      <c r="M1006" s="15"/>
    </row>
    <row r="1007" spans="13:13" x14ac:dyDescent="0.55000000000000004">
      <c r="M1007" s="15"/>
    </row>
    <row r="1008" spans="13:13" x14ac:dyDescent="0.55000000000000004">
      <c r="M1008" s="15"/>
    </row>
    <row r="1009" spans="13:13" x14ac:dyDescent="0.55000000000000004">
      <c r="M1009" s="15"/>
    </row>
    <row r="1010" spans="13:13" x14ac:dyDescent="0.55000000000000004">
      <c r="M1010" s="15"/>
    </row>
    <row r="1011" spans="13:13" x14ac:dyDescent="0.55000000000000004">
      <c r="M1011" s="15"/>
    </row>
    <row r="1012" spans="13:13" x14ac:dyDescent="0.55000000000000004">
      <c r="M1012" s="15"/>
    </row>
    <row r="1013" spans="13:13" x14ac:dyDescent="0.55000000000000004">
      <c r="M1013" s="15"/>
    </row>
    <row r="1014" spans="13:13" x14ac:dyDescent="0.55000000000000004">
      <c r="M1014" s="15"/>
    </row>
    <row r="1015" spans="13:13" x14ac:dyDescent="0.55000000000000004">
      <c r="M1015" s="15"/>
    </row>
    <row r="1016" spans="13:13" x14ac:dyDescent="0.55000000000000004">
      <c r="M1016" s="15"/>
    </row>
    <row r="1017" spans="13:13" x14ac:dyDescent="0.55000000000000004">
      <c r="M1017" s="15"/>
    </row>
    <row r="1018" spans="13:13" x14ac:dyDescent="0.55000000000000004">
      <c r="M1018" s="15"/>
    </row>
    <row r="1019" spans="13:13" x14ac:dyDescent="0.55000000000000004">
      <c r="M1019" s="15"/>
    </row>
    <row r="1020" spans="13:13" x14ac:dyDescent="0.55000000000000004">
      <c r="M1020" s="15"/>
    </row>
    <row r="1021" spans="13:13" x14ac:dyDescent="0.55000000000000004">
      <c r="M1021" s="15"/>
    </row>
    <row r="1022" spans="13:13" x14ac:dyDescent="0.55000000000000004">
      <c r="M1022" s="15"/>
    </row>
    <row r="1023" spans="13:13" x14ac:dyDescent="0.55000000000000004">
      <c r="M1023" s="15"/>
    </row>
    <row r="1024" spans="13:13" x14ac:dyDescent="0.55000000000000004">
      <c r="M1024" s="15"/>
    </row>
    <row r="1025" spans="13:13" x14ac:dyDescent="0.55000000000000004">
      <c r="M1025" s="15"/>
    </row>
    <row r="1026" spans="13:13" x14ac:dyDescent="0.55000000000000004">
      <c r="M1026" s="15"/>
    </row>
    <row r="1027" spans="13:13" x14ac:dyDescent="0.55000000000000004">
      <c r="M1027" s="15"/>
    </row>
    <row r="1028" spans="13:13" x14ac:dyDescent="0.55000000000000004">
      <c r="M1028" s="15"/>
    </row>
    <row r="1029" spans="13:13" x14ac:dyDescent="0.55000000000000004">
      <c r="M1029" s="15"/>
    </row>
    <row r="1030" spans="13:13" x14ac:dyDescent="0.55000000000000004">
      <c r="M1030" s="15"/>
    </row>
    <row r="1031" spans="13:13" x14ac:dyDescent="0.55000000000000004">
      <c r="M1031" s="15"/>
    </row>
    <row r="1032" spans="13:13" x14ac:dyDescent="0.55000000000000004">
      <c r="M1032" s="15"/>
    </row>
    <row r="1033" spans="13:13" x14ac:dyDescent="0.55000000000000004">
      <c r="M1033" s="15"/>
    </row>
    <row r="1034" spans="13:13" x14ac:dyDescent="0.55000000000000004">
      <c r="M1034" s="15"/>
    </row>
    <row r="1035" spans="13:13" x14ac:dyDescent="0.55000000000000004">
      <c r="M1035" s="15"/>
    </row>
    <row r="1036" spans="13:13" x14ac:dyDescent="0.55000000000000004">
      <c r="M1036" s="15"/>
    </row>
    <row r="1037" spans="13:13" x14ac:dyDescent="0.55000000000000004">
      <c r="M1037" s="15"/>
    </row>
    <row r="1038" spans="13:13" x14ac:dyDescent="0.55000000000000004">
      <c r="M1038" s="15"/>
    </row>
    <row r="1039" spans="13:13" x14ac:dyDescent="0.55000000000000004">
      <c r="M1039" s="15"/>
    </row>
    <row r="1040" spans="13:13" x14ac:dyDescent="0.55000000000000004">
      <c r="M1040" s="15"/>
    </row>
    <row r="1041" spans="13:13" x14ac:dyDescent="0.55000000000000004">
      <c r="M1041" s="15"/>
    </row>
    <row r="1042" spans="13:13" x14ac:dyDescent="0.55000000000000004">
      <c r="M1042" s="15"/>
    </row>
    <row r="1043" spans="13:13" x14ac:dyDescent="0.55000000000000004">
      <c r="M1043" s="15"/>
    </row>
    <row r="1044" spans="13:13" x14ac:dyDescent="0.55000000000000004">
      <c r="M1044" s="15"/>
    </row>
    <row r="1045" spans="13:13" x14ac:dyDescent="0.55000000000000004">
      <c r="M1045" s="15"/>
    </row>
    <row r="1046" spans="13:13" x14ac:dyDescent="0.55000000000000004">
      <c r="M1046" s="15"/>
    </row>
    <row r="1047" spans="13:13" x14ac:dyDescent="0.55000000000000004">
      <c r="M1047" s="15"/>
    </row>
    <row r="1048" spans="13:13" x14ac:dyDescent="0.55000000000000004">
      <c r="M1048" s="15"/>
    </row>
    <row r="1049" spans="13:13" x14ac:dyDescent="0.55000000000000004">
      <c r="M1049" s="15"/>
    </row>
    <row r="1050" spans="13:13" x14ac:dyDescent="0.55000000000000004">
      <c r="M1050" s="15"/>
    </row>
    <row r="1051" spans="13:13" x14ac:dyDescent="0.55000000000000004">
      <c r="M1051" s="15"/>
    </row>
    <row r="1052" spans="13:13" x14ac:dyDescent="0.55000000000000004">
      <c r="M1052" s="15"/>
    </row>
    <row r="1053" spans="13:13" x14ac:dyDescent="0.55000000000000004">
      <c r="M1053" s="15"/>
    </row>
    <row r="1054" spans="13:13" x14ac:dyDescent="0.55000000000000004">
      <c r="M1054" s="15"/>
    </row>
    <row r="1055" spans="13:13" x14ac:dyDescent="0.55000000000000004">
      <c r="M1055" s="15"/>
    </row>
    <row r="1056" spans="13:13" x14ac:dyDescent="0.55000000000000004">
      <c r="M1056" s="15"/>
    </row>
    <row r="1057" spans="13:13" x14ac:dyDescent="0.55000000000000004">
      <c r="M1057" s="15"/>
    </row>
    <row r="1058" spans="13:13" x14ac:dyDescent="0.55000000000000004">
      <c r="M1058" s="15"/>
    </row>
    <row r="1059" spans="13:13" x14ac:dyDescent="0.55000000000000004">
      <c r="M1059" s="15"/>
    </row>
    <row r="1060" spans="13:13" x14ac:dyDescent="0.55000000000000004">
      <c r="M1060" s="15"/>
    </row>
    <row r="1061" spans="13:13" x14ac:dyDescent="0.55000000000000004">
      <c r="M1061" s="15"/>
    </row>
    <row r="1062" spans="13:13" x14ac:dyDescent="0.55000000000000004">
      <c r="M1062" s="15"/>
    </row>
    <row r="1063" spans="13:13" x14ac:dyDescent="0.55000000000000004">
      <c r="M1063" s="15"/>
    </row>
    <row r="1064" spans="13:13" x14ac:dyDescent="0.55000000000000004">
      <c r="M1064" s="15"/>
    </row>
    <row r="1065" spans="13:13" x14ac:dyDescent="0.55000000000000004">
      <c r="M1065" s="15"/>
    </row>
    <row r="1066" spans="13:13" x14ac:dyDescent="0.55000000000000004">
      <c r="M1066" s="15"/>
    </row>
    <row r="1067" spans="13:13" x14ac:dyDescent="0.55000000000000004">
      <c r="M1067" s="15"/>
    </row>
    <row r="1068" spans="13:13" x14ac:dyDescent="0.55000000000000004">
      <c r="M1068" s="15"/>
    </row>
    <row r="1069" spans="13:13" x14ac:dyDescent="0.55000000000000004">
      <c r="M1069" s="15"/>
    </row>
    <row r="1070" spans="13:13" x14ac:dyDescent="0.55000000000000004">
      <c r="M1070" s="15"/>
    </row>
    <row r="1071" spans="13:13" x14ac:dyDescent="0.55000000000000004">
      <c r="M1071" s="15"/>
    </row>
    <row r="1072" spans="13:13" x14ac:dyDescent="0.55000000000000004">
      <c r="M1072" s="15"/>
    </row>
    <row r="1073" spans="13:13" x14ac:dyDescent="0.55000000000000004">
      <c r="M1073" s="15"/>
    </row>
    <row r="1074" spans="13:13" x14ac:dyDescent="0.55000000000000004">
      <c r="M1074" s="15"/>
    </row>
    <row r="1075" spans="13:13" x14ac:dyDescent="0.55000000000000004">
      <c r="M1075" s="15"/>
    </row>
    <row r="1076" spans="13:13" x14ac:dyDescent="0.55000000000000004">
      <c r="M1076" s="15"/>
    </row>
    <row r="1077" spans="13:13" x14ac:dyDescent="0.55000000000000004">
      <c r="M1077" s="15"/>
    </row>
    <row r="1078" spans="13:13" x14ac:dyDescent="0.55000000000000004">
      <c r="M1078" s="15"/>
    </row>
    <row r="1079" spans="13:13" x14ac:dyDescent="0.55000000000000004">
      <c r="M1079" s="15"/>
    </row>
    <row r="1080" spans="13:13" x14ac:dyDescent="0.55000000000000004">
      <c r="M1080" s="15"/>
    </row>
    <row r="1081" spans="13:13" x14ac:dyDescent="0.55000000000000004">
      <c r="M1081" s="15"/>
    </row>
    <row r="1082" spans="13:13" x14ac:dyDescent="0.55000000000000004">
      <c r="M1082" s="15"/>
    </row>
    <row r="1083" spans="13:13" x14ac:dyDescent="0.55000000000000004">
      <c r="M1083" s="15"/>
    </row>
    <row r="1084" spans="13:13" x14ac:dyDescent="0.55000000000000004">
      <c r="M1084" s="15"/>
    </row>
    <row r="1085" spans="13:13" x14ac:dyDescent="0.55000000000000004">
      <c r="M1085" s="15"/>
    </row>
    <row r="1086" spans="13:13" x14ac:dyDescent="0.55000000000000004">
      <c r="M1086" s="15"/>
    </row>
    <row r="1087" spans="13:13" x14ac:dyDescent="0.55000000000000004">
      <c r="M1087" s="15"/>
    </row>
    <row r="1088" spans="13:13" x14ac:dyDescent="0.55000000000000004">
      <c r="M1088" s="15"/>
    </row>
    <row r="1089" spans="13:13" x14ac:dyDescent="0.55000000000000004">
      <c r="M1089" s="15"/>
    </row>
    <row r="1090" spans="13:13" x14ac:dyDescent="0.55000000000000004">
      <c r="M1090" s="15"/>
    </row>
    <row r="1091" spans="13:13" x14ac:dyDescent="0.55000000000000004">
      <c r="M1091" s="15"/>
    </row>
    <row r="1092" spans="13:13" x14ac:dyDescent="0.55000000000000004">
      <c r="M1092" s="15"/>
    </row>
    <row r="1093" spans="13:13" x14ac:dyDescent="0.55000000000000004">
      <c r="M1093" s="15"/>
    </row>
    <row r="1094" spans="13:13" x14ac:dyDescent="0.55000000000000004">
      <c r="M1094" s="15"/>
    </row>
    <row r="1095" spans="13:13" x14ac:dyDescent="0.55000000000000004">
      <c r="M1095" s="15"/>
    </row>
    <row r="1096" spans="13:13" x14ac:dyDescent="0.55000000000000004">
      <c r="M1096" s="15"/>
    </row>
    <row r="1097" spans="13:13" x14ac:dyDescent="0.55000000000000004">
      <c r="M1097" s="15"/>
    </row>
    <row r="1098" spans="13:13" x14ac:dyDescent="0.55000000000000004">
      <c r="M1098" s="15"/>
    </row>
    <row r="1099" spans="13:13" x14ac:dyDescent="0.55000000000000004">
      <c r="M1099" s="15"/>
    </row>
    <row r="1100" spans="13:13" x14ac:dyDescent="0.55000000000000004">
      <c r="M1100" s="15"/>
    </row>
    <row r="1101" spans="13:13" x14ac:dyDescent="0.55000000000000004">
      <c r="M1101" s="15"/>
    </row>
    <row r="1102" spans="13:13" x14ac:dyDescent="0.55000000000000004">
      <c r="M1102" s="15"/>
    </row>
    <row r="1103" spans="13:13" x14ac:dyDescent="0.55000000000000004">
      <c r="M1103" s="15"/>
    </row>
    <row r="1104" spans="13:13" x14ac:dyDescent="0.55000000000000004">
      <c r="M1104" s="15"/>
    </row>
    <row r="1105" spans="13:13" x14ac:dyDescent="0.55000000000000004">
      <c r="M1105" s="15"/>
    </row>
    <row r="1106" spans="13:13" x14ac:dyDescent="0.55000000000000004">
      <c r="M1106" s="15"/>
    </row>
    <row r="1107" spans="13:13" x14ac:dyDescent="0.55000000000000004">
      <c r="M1107" s="15"/>
    </row>
    <row r="1108" spans="13:13" x14ac:dyDescent="0.55000000000000004">
      <c r="M1108" s="15"/>
    </row>
    <row r="1109" spans="13:13" x14ac:dyDescent="0.55000000000000004">
      <c r="M1109" s="15"/>
    </row>
    <row r="1110" spans="13:13" x14ac:dyDescent="0.55000000000000004">
      <c r="M1110" s="15"/>
    </row>
    <row r="1111" spans="13:13" x14ac:dyDescent="0.55000000000000004">
      <c r="M1111" s="15"/>
    </row>
    <row r="1112" spans="13:13" x14ac:dyDescent="0.55000000000000004">
      <c r="M1112" s="15"/>
    </row>
    <row r="1113" spans="13:13" x14ac:dyDescent="0.55000000000000004">
      <c r="M1113" s="15"/>
    </row>
    <row r="1114" spans="13:13" x14ac:dyDescent="0.55000000000000004">
      <c r="M1114" s="15"/>
    </row>
    <row r="1115" spans="13:13" x14ac:dyDescent="0.55000000000000004">
      <c r="M1115" s="15"/>
    </row>
    <row r="1116" spans="13:13" x14ac:dyDescent="0.55000000000000004">
      <c r="M1116" s="15"/>
    </row>
    <row r="1117" spans="13:13" x14ac:dyDescent="0.55000000000000004">
      <c r="M1117" s="15"/>
    </row>
    <row r="1118" spans="13:13" x14ac:dyDescent="0.55000000000000004">
      <c r="M1118" s="15"/>
    </row>
    <row r="1119" spans="13:13" x14ac:dyDescent="0.55000000000000004">
      <c r="M1119" s="15"/>
    </row>
    <row r="1120" spans="13:13" x14ac:dyDescent="0.55000000000000004">
      <c r="M1120" s="15"/>
    </row>
    <row r="1121" spans="13:13" x14ac:dyDescent="0.55000000000000004">
      <c r="M1121" s="15"/>
    </row>
    <row r="1122" spans="13:13" x14ac:dyDescent="0.55000000000000004">
      <c r="M1122" s="15"/>
    </row>
    <row r="1123" spans="13:13" x14ac:dyDescent="0.55000000000000004">
      <c r="M1123" s="15"/>
    </row>
    <row r="1124" spans="13:13" x14ac:dyDescent="0.55000000000000004">
      <c r="M1124" s="15"/>
    </row>
    <row r="1125" spans="13:13" x14ac:dyDescent="0.55000000000000004">
      <c r="M1125" s="15"/>
    </row>
    <row r="1126" spans="13:13" x14ac:dyDescent="0.55000000000000004">
      <c r="M1126" s="15"/>
    </row>
    <row r="1127" spans="13:13" x14ac:dyDescent="0.55000000000000004">
      <c r="M1127" s="15"/>
    </row>
    <row r="1128" spans="13:13" x14ac:dyDescent="0.55000000000000004">
      <c r="M1128" s="15"/>
    </row>
    <row r="1129" spans="13:13" x14ac:dyDescent="0.55000000000000004">
      <c r="M1129" s="15"/>
    </row>
    <row r="1130" spans="13:13" x14ac:dyDescent="0.55000000000000004">
      <c r="M1130" s="15"/>
    </row>
    <row r="1131" spans="13:13" x14ac:dyDescent="0.55000000000000004">
      <c r="M1131" s="15"/>
    </row>
    <row r="1132" spans="13:13" x14ac:dyDescent="0.55000000000000004">
      <c r="M1132" s="15"/>
    </row>
    <row r="1133" spans="13:13" x14ac:dyDescent="0.55000000000000004">
      <c r="M1133" s="15"/>
    </row>
    <row r="1134" spans="13:13" x14ac:dyDescent="0.55000000000000004">
      <c r="M1134" s="15"/>
    </row>
    <row r="1135" spans="13:13" x14ac:dyDescent="0.55000000000000004">
      <c r="M1135" s="15"/>
    </row>
    <row r="1136" spans="13:13" x14ac:dyDescent="0.55000000000000004">
      <c r="M1136" s="15"/>
    </row>
    <row r="1137" spans="13:13" x14ac:dyDescent="0.55000000000000004">
      <c r="M1137" s="15"/>
    </row>
    <row r="1138" spans="13:13" x14ac:dyDescent="0.55000000000000004">
      <c r="M1138" s="15"/>
    </row>
    <row r="1139" spans="13:13" x14ac:dyDescent="0.55000000000000004">
      <c r="M1139" s="15"/>
    </row>
    <row r="1140" spans="13:13" x14ac:dyDescent="0.55000000000000004">
      <c r="M1140" s="15"/>
    </row>
    <row r="1141" spans="13:13" x14ac:dyDescent="0.55000000000000004">
      <c r="M1141" s="15"/>
    </row>
    <row r="1142" spans="13:13" x14ac:dyDescent="0.55000000000000004">
      <c r="M1142" s="15"/>
    </row>
    <row r="1143" spans="13:13" x14ac:dyDescent="0.55000000000000004">
      <c r="M1143" s="15"/>
    </row>
    <row r="1144" spans="13:13" x14ac:dyDescent="0.55000000000000004">
      <c r="M1144" s="15"/>
    </row>
    <row r="1145" spans="13:13" x14ac:dyDescent="0.55000000000000004">
      <c r="M1145" s="15"/>
    </row>
    <row r="1146" spans="13:13" x14ac:dyDescent="0.55000000000000004">
      <c r="M1146" s="15"/>
    </row>
    <row r="1147" spans="13:13" x14ac:dyDescent="0.55000000000000004">
      <c r="M1147" s="15"/>
    </row>
    <row r="1148" spans="13:13" x14ac:dyDescent="0.55000000000000004">
      <c r="M1148" s="15"/>
    </row>
    <row r="1149" spans="13:13" x14ac:dyDescent="0.55000000000000004">
      <c r="M1149" s="15"/>
    </row>
    <row r="1150" spans="13:13" x14ac:dyDescent="0.55000000000000004">
      <c r="M1150" s="15"/>
    </row>
    <row r="1151" spans="13:13" x14ac:dyDescent="0.55000000000000004">
      <c r="M1151" s="15"/>
    </row>
    <row r="1152" spans="13:13" x14ac:dyDescent="0.55000000000000004">
      <c r="M1152" s="15"/>
    </row>
    <row r="1153" spans="13:13" x14ac:dyDescent="0.55000000000000004">
      <c r="M1153" s="15"/>
    </row>
    <row r="1154" spans="13:13" x14ac:dyDescent="0.55000000000000004">
      <c r="M1154" s="15"/>
    </row>
    <row r="1155" spans="13:13" x14ac:dyDescent="0.55000000000000004">
      <c r="M1155" s="15"/>
    </row>
    <row r="1156" spans="13:13" x14ac:dyDescent="0.55000000000000004">
      <c r="M1156" s="15"/>
    </row>
    <row r="1157" spans="13:13" x14ac:dyDescent="0.55000000000000004">
      <c r="M1157" s="15"/>
    </row>
    <row r="1158" spans="13:13" x14ac:dyDescent="0.55000000000000004">
      <c r="M1158" s="15"/>
    </row>
    <row r="1159" spans="13:13" x14ac:dyDescent="0.55000000000000004">
      <c r="M1159" s="15"/>
    </row>
    <row r="1160" spans="13:13" x14ac:dyDescent="0.55000000000000004">
      <c r="M1160" s="15"/>
    </row>
    <row r="1161" spans="13:13" x14ac:dyDescent="0.55000000000000004">
      <c r="M1161" s="15"/>
    </row>
    <row r="1162" spans="13:13" x14ac:dyDescent="0.55000000000000004">
      <c r="M1162" s="15"/>
    </row>
    <row r="1163" spans="13:13" x14ac:dyDescent="0.55000000000000004">
      <c r="M1163" s="15"/>
    </row>
    <row r="1164" spans="13:13" x14ac:dyDescent="0.55000000000000004">
      <c r="M1164" s="15"/>
    </row>
    <row r="1165" spans="13:13" x14ac:dyDescent="0.55000000000000004">
      <c r="M1165" s="15"/>
    </row>
    <row r="1166" spans="13:13" x14ac:dyDescent="0.55000000000000004">
      <c r="M1166" s="15"/>
    </row>
    <row r="1167" spans="13:13" x14ac:dyDescent="0.55000000000000004">
      <c r="M1167" s="15"/>
    </row>
    <row r="1168" spans="13:13" x14ac:dyDescent="0.55000000000000004">
      <c r="M1168" s="15"/>
    </row>
    <row r="1169" spans="13:13" x14ac:dyDescent="0.55000000000000004">
      <c r="M1169" s="15"/>
    </row>
    <row r="1170" spans="13:13" x14ac:dyDescent="0.55000000000000004">
      <c r="M1170" s="15"/>
    </row>
    <row r="1171" spans="13:13" x14ac:dyDescent="0.55000000000000004">
      <c r="M1171" s="15"/>
    </row>
    <row r="1172" spans="13:13" x14ac:dyDescent="0.55000000000000004">
      <c r="M1172" s="15"/>
    </row>
    <row r="1173" spans="13:13" x14ac:dyDescent="0.55000000000000004">
      <c r="M1173" s="15"/>
    </row>
    <row r="1174" spans="13:13" x14ac:dyDescent="0.55000000000000004">
      <c r="M1174" s="15"/>
    </row>
    <row r="1175" spans="13:13" x14ac:dyDescent="0.55000000000000004">
      <c r="M1175" s="15"/>
    </row>
    <row r="1176" spans="13:13" x14ac:dyDescent="0.55000000000000004">
      <c r="M1176" s="15"/>
    </row>
    <row r="1177" spans="13:13" x14ac:dyDescent="0.55000000000000004">
      <c r="M1177" s="15"/>
    </row>
    <row r="1178" spans="13:13" x14ac:dyDescent="0.55000000000000004">
      <c r="M1178" s="15"/>
    </row>
    <row r="1179" spans="13:13" x14ac:dyDescent="0.55000000000000004">
      <c r="M1179" s="15"/>
    </row>
    <row r="1180" spans="13:13" x14ac:dyDescent="0.55000000000000004">
      <c r="M1180" s="15"/>
    </row>
    <row r="1181" spans="13:13" x14ac:dyDescent="0.55000000000000004">
      <c r="M1181" s="15"/>
    </row>
    <row r="1182" spans="13:13" x14ac:dyDescent="0.55000000000000004">
      <c r="M1182" s="15"/>
    </row>
    <row r="1183" spans="13:13" x14ac:dyDescent="0.55000000000000004">
      <c r="M1183" s="15"/>
    </row>
    <row r="1184" spans="13:13" x14ac:dyDescent="0.55000000000000004">
      <c r="M1184" s="15"/>
    </row>
    <row r="1185" spans="13:13" x14ac:dyDescent="0.55000000000000004">
      <c r="M1185" s="15"/>
    </row>
    <row r="1186" spans="13:13" x14ac:dyDescent="0.55000000000000004">
      <c r="M1186" s="15"/>
    </row>
    <row r="1187" spans="13:13" x14ac:dyDescent="0.55000000000000004">
      <c r="M1187" s="15"/>
    </row>
    <row r="1188" spans="13:13" x14ac:dyDescent="0.55000000000000004">
      <c r="M1188" s="15"/>
    </row>
    <row r="1189" spans="13:13" x14ac:dyDescent="0.55000000000000004">
      <c r="M1189" s="15"/>
    </row>
    <row r="1190" spans="13:13" x14ac:dyDescent="0.55000000000000004">
      <c r="M1190" s="15"/>
    </row>
    <row r="1191" spans="13:13" x14ac:dyDescent="0.55000000000000004">
      <c r="M1191" s="15"/>
    </row>
    <row r="1192" spans="13:13" x14ac:dyDescent="0.55000000000000004">
      <c r="M1192" s="15"/>
    </row>
    <row r="1193" spans="13:13" x14ac:dyDescent="0.55000000000000004">
      <c r="M1193" s="15"/>
    </row>
    <row r="1194" spans="13:13" x14ac:dyDescent="0.55000000000000004">
      <c r="M1194" s="15"/>
    </row>
    <row r="1195" spans="13:13" x14ac:dyDescent="0.55000000000000004">
      <c r="M1195" s="15"/>
    </row>
  </sheetData>
  <phoneticPr fontId="2"/>
  <conditionalFormatting sqref="P3:P256 P262:P462">
    <cfRule type="containsText" dxfId="15" priority="2" operator="containsText" text="勝">
      <formula>NOT(ISERROR(SEARCH("勝",P3)))</formula>
    </cfRule>
  </conditionalFormatting>
  <conditionalFormatting sqref="P257:P261">
    <cfRule type="containsText" dxfId="14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J59:M462 H60:H462 I63:I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tabSelected="1" zoomScale="115" zoomScaleNormal="115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RowHeight="15" x14ac:dyDescent="0.55000000000000004"/>
  <cols>
    <col min="1" max="1" width="5.83203125" style="1" customWidth="1"/>
    <col min="2" max="8" width="8.6640625" style="1"/>
    <col min="9" max="9" width="12.83203125" style="1" customWidth="1"/>
    <col min="10" max="10" width="11.4140625" style="1" customWidth="1"/>
    <col min="11" max="11" width="8.6640625" style="1"/>
    <col min="12" max="12" width="9.75" style="1" customWidth="1"/>
    <col min="13" max="16384" width="8.6640625" style="1"/>
  </cols>
  <sheetData>
    <row r="1" spans="3:12" ht="68.5" customHeight="1" thickBot="1" x14ac:dyDescent="0.6"/>
    <row r="2" spans="3:12" s="38" customFormat="1" ht="15.5" thickBot="1" x14ac:dyDescent="0.6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6" thickTop="1" thickBot="1" x14ac:dyDescent="0.6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5.5" thickBot="1" x14ac:dyDescent="0.6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5.5" thickBot="1" x14ac:dyDescent="0.6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5.5" thickBot="1" x14ac:dyDescent="0.6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5.5" thickBot="1" x14ac:dyDescent="0.6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5.5" thickBot="1" x14ac:dyDescent="0.6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5.5" thickBot="1" x14ac:dyDescent="0.6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5.5" thickBot="1" x14ac:dyDescent="0.6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5.5" thickBot="1" x14ac:dyDescent="0.6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5.5" thickBot="1" x14ac:dyDescent="0.6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5.5" thickBot="1" x14ac:dyDescent="0.6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5.5" thickBot="1" x14ac:dyDescent="0.6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5.5" thickBot="1" x14ac:dyDescent="0.6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5.5" thickBot="1" x14ac:dyDescent="0.6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5.5" thickBot="1" x14ac:dyDescent="0.6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5.5" thickBot="1" x14ac:dyDescent="0.6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5.5" thickBot="1" x14ac:dyDescent="0.6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5.5" thickBot="1" x14ac:dyDescent="0.6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5.5" thickBot="1" x14ac:dyDescent="0.6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5.5" thickBot="1" x14ac:dyDescent="0.6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5.5" thickBot="1" x14ac:dyDescent="0.6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5.5" thickBot="1" x14ac:dyDescent="0.6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5.5" thickBot="1" x14ac:dyDescent="0.6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5.5" thickBot="1" x14ac:dyDescent="0.6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5.5" thickBot="1" x14ac:dyDescent="0.6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5.5" thickBot="1" x14ac:dyDescent="0.6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5.5" thickBot="1" x14ac:dyDescent="0.6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5.5" thickBot="1" x14ac:dyDescent="0.6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5.5" thickBot="1" x14ac:dyDescent="0.6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5.5" thickBot="1" x14ac:dyDescent="0.6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5.5" thickBot="1" x14ac:dyDescent="0.6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5.5" thickBot="1" x14ac:dyDescent="0.6">
      <c r="C34" s="39"/>
      <c r="D34" s="39"/>
      <c r="E34" s="40"/>
      <c r="F34" s="40"/>
      <c r="G34" s="40"/>
      <c r="H34" s="40"/>
      <c r="I34" s="39"/>
      <c r="J34" s="39"/>
      <c r="K34" s="39"/>
      <c r="L34" s="39"/>
    </row>
    <row r="35" spans="3:12" ht="15.5" thickBot="1" x14ac:dyDescent="0.6">
      <c r="C35" s="39"/>
      <c r="D35" s="39"/>
      <c r="E35" s="40"/>
      <c r="F35" s="40"/>
      <c r="G35" s="40"/>
      <c r="H35" s="40"/>
      <c r="I35" s="39"/>
      <c r="J35" s="39"/>
      <c r="K35" s="39"/>
      <c r="L35" s="39"/>
    </row>
    <row r="36" spans="3:12" ht="15.5" thickBot="1" x14ac:dyDescent="0.6">
      <c r="C36" s="39"/>
      <c r="D36" s="39"/>
      <c r="E36" s="40"/>
      <c r="F36" s="40"/>
      <c r="G36" s="40"/>
      <c r="H36" s="40"/>
      <c r="I36" s="39"/>
      <c r="J36" s="39"/>
      <c r="K36" s="39"/>
      <c r="L36" s="39"/>
    </row>
    <row r="37" spans="3:12" ht="15.5" thickBot="1" x14ac:dyDescent="0.6">
      <c r="C37" s="39"/>
      <c r="D37" s="39"/>
      <c r="E37" s="40"/>
      <c r="F37" s="40"/>
      <c r="G37" s="40"/>
      <c r="H37" s="40"/>
      <c r="I37" s="39"/>
      <c r="J37" s="39"/>
      <c r="K37" s="39"/>
      <c r="L37" s="39"/>
    </row>
    <row r="38" spans="3:12" ht="15.5" thickBot="1" x14ac:dyDescent="0.6">
      <c r="C38" s="39"/>
      <c r="D38" s="39"/>
      <c r="E38" s="40"/>
      <c r="F38" s="40"/>
      <c r="G38" s="40"/>
      <c r="H38" s="40"/>
      <c r="I38" s="39"/>
      <c r="J38" s="39"/>
      <c r="K38" s="39"/>
      <c r="L38" s="39"/>
    </row>
    <row r="39" spans="3:12" ht="15.5" thickBot="1" x14ac:dyDescent="0.6">
      <c r="C39" s="39"/>
      <c r="D39" s="39"/>
      <c r="E39" s="40"/>
      <c r="F39" s="40"/>
      <c r="G39" s="40"/>
      <c r="H39" s="40"/>
      <c r="I39" s="39"/>
      <c r="J39" s="39"/>
      <c r="K39" s="39"/>
      <c r="L39" s="39"/>
    </row>
    <row r="40" spans="3:12" ht="15.5" thickBot="1" x14ac:dyDescent="0.6">
      <c r="C40" s="39"/>
      <c r="D40" s="39"/>
      <c r="E40" s="40"/>
      <c r="F40" s="40"/>
      <c r="G40" s="40"/>
      <c r="H40" s="40"/>
      <c r="I40" s="39"/>
      <c r="J40" s="39"/>
      <c r="K40" s="39"/>
      <c r="L40" s="39"/>
    </row>
    <row r="41" spans="3:12" ht="15.5" thickBot="1" x14ac:dyDescent="0.6">
      <c r="C41" s="39"/>
      <c r="D41" s="39"/>
      <c r="E41" s="40"/>
      <c r="F41" s="40"/>
      <c r="G41" s="40"/>
      <c r="H41" s="40"/>
      <c r="I41" s="39"/>
      <c r="J41" s="39"/>
      <c r="K41" s="39"/>
      <c r="L41" s="39"/>
    </row>
    <row r="42" spans="3:12" ht="15.5" thickBot="1" x14ac:dyDescent="0.6">
      <c r="C42" s="39"/>
      <c r="D42" s="39"/>
      <c r="E42" s="40"/>
      <c r="F42" s="40"/>
      <c r="G42" s="40"/>
      <c r="H42" s="40"/>
      <c r="I42" s="39"/>
      <c r="J42" s="39"/>
      <c r="K42" s="39"/>
      <c r="L42" s="39"/>
    </row>
    <row r="43" spans="3:12" ht="15.5" thickBot="1" x14ac:dyDescent="0.6">
      <c r="C43" s="39"/>
      <c r="D43" s="39"/>
      <c r="E43" s="40"/>
      <c r="F43" s="40"/>
      <c r="G43" s="40"/>
      <c r="H43" s="40"/>
      <c r="I43" s="39"/>
      <c r="J43" s="39"/>
      <c r="K43" s="39"/>
      <c r="L43" s="39"/>
    </row>
    <row r="44" spans="3:12" ht="15.5" thickBot="1" x14ac:dyDescent="0.6">
      <c r="C44" s="39"/>
      <c r="D44" s="39"/>
      <c r="E44" s="40"/>
      <c r="F44" s="40"/>
      <c r="G44" s="40"/>
      <c r="H44" s="40"/>
      <c r="I44" s="39"/>
      <c r="J44" s="39"/>
      <c r="K44" s="39"/>
      <c r="L44" s="39"/>
    </row>
    <row r="45" spans="3:12" ht="15.5" thickBot="1" x14ac:dyDescent="0.6">
      <c r="C45" s="39"/>
      <c r="D45" s="39"/>
      <c r="E45" s="40"/>
      <c r="F45" s="40"/>
      <c r="G45" s="40"/>
      <c r="H45" s="40"/>
      <c r="I45" s="39"/>
      <c r="J45" s="39"/>
      <c r="K45" s="39"/>
      <c r="L45" s="39"/>
    </row>
    <row r="46" spans="3:12" ht="15.5" thickBot="1" x14ac:dyDescent="0.6">
      <c r="C46" s="39"/>
      <c r="D46" s="39"/>
      <c r="E46" s="40"/>
      <c r="F46" s="40"/>
      <c r="G46" s="40"/>
      <c r="H46" s="40"/>
      <c r="I46" s="39"/>
      <c r="J46" s="39"/>
      <c r="K46" s="39"/>
      <c r="L46" s="39"/>
    </row>
    <row r="47" spans="3:12" ht="15.5" thickBot="1" x14ac:dyDescent="0.6">
      <c r="C47" s="39"/>
      <c r="D47" s="39"/>
      <c r="E47" s="40"/>
      <c r="F47" s="40"/>
      <c r="G47" s="40"/>
      <c r="H47" s="40"/>
      <c r="I47" s="39"/>
      <c r="J47" s="39"/>
      <c r="K47" s="39"/>
      <c r="L47" s="39"/>
    </row>
    <row r="48" spans="3:12" ht="15.5" thickBot="1" x14ac:dyDescent="0.6">
      <c r="C48" s="39"/>
      <c r="D48" s="39"/>
      <c r="E48" s="40"/>
      <c r="F48" s="40"/>
      <c r="G48" s="40"/>
      <c r="H48" s="40"/>
      <c r="I48" s="39"/>
      <c r="J48" s="39"/>
      <c r="K48" s="39"/>
      <c r="L48" s="39"/>
    </row>
    <row r="49" spans="3:12" ht="15.5" thickBot="1" x14ac:dyDescent="0.6">
      <c r="C49" s="39"/>
      <c r="D49" s="39"/>
      <c r="E49" s="40"/>
      <c r="F49" s="40"/>
      <c r="G49" s="40"/>
      <c r="H49" s="40"/>
      <c r="I49" s="39"/>
      <c r="J49" s="39"/>
      <c r="K49" s="39"/>
      <c r="L49" s="39"/>
    </row>
    <row r="50" spans="3:12" ht="15.5" thickBot="1" x14ac:dyDescent="0.6">
      <c r="C50" s="39"/>
      <c r="D50" s="39"/>
      <c r="E50" s="40"/>
      <c r="F50" s="40"/>
      <c r="G50" s="40"/>
      <c r="H50" s="40"/>
      <c r="I50" s="39"/>
      <c r="J50" s="39"/>
      <c r="K50" s="39"/>
      <c r="L50" s="39"/>
    </row>
    <row r="51" spans="3:12" ht="15.5" thickBot="1" x14ac:dyDescent="0.6">
      <c r="C51" s="39"/>
      <c r="D51" s="39"/>
      <c r="E51" s="40"/>
      <c r="F51" s="40"/>
      <c r="G51" s="40"/>
      <c r="H51" s="40"/>
      <c r="I51" s="39"/>
      <c r="J51" s="39"/>
      <c r="K51" s="39"/>
      <c r="L51" s="39"/>
    </row>
    <row r="52" spans="3:12" ht="15.5" thickBot="1" x14ac:dyDescent="0.6">
      <c r="C52" s="39"/>
      <c r="D52" s="39"/>
      <c r="E52" s="40"/>
      <c r="F52" s="40"/>
      <c r="G52" s="40"/>
      <c r="H52" s="40"/>
      <c r="I52" s="39"/>
      <c r="J52" s="39"/>
      <c r="K52" s="39"/>
      <c r="L52" s="39"/>
    </row>
    <row r="53" spans="3:12" ht="15.5" thickBot="1" x14ac:dyDescent="0.6">
      <c r="C53" s="39"/>
      <c r="D53" s="39"/>
      <c r="E53" s="40"/>
      <c r="F53" s="40"/>
      <c r="G53" s="40"/>
      <c r="H53" s="40"/>
      <c r="I53" s="39"/>
      <c r="J53" s="39"/>
      <c r="K53" s="39"/>
      <c r="L53" s="39"/>
    </row>
    <row r="54" spans="3:12" ht="15.5" thickBot="1" x14ac:dyDescent="0.6">
      <c r="C54" s="39"/>
      <c r="D54" s="39"/>
      <c r="E54" s="40"/>
      <c r="F54" s="40"/>
      <c r="G54" s="40"/>
      <c r="H54" s="40"/>
      <c r="I54" s="39"/>
      <c r="J54" s="39"/>
      <c r="K54" s="39"/>
      <c r="L54" s="39"/>
    </row>
    <row r="55" spans="3:12" ht="15.5" thickBot="1" x14ac:dyDescent="0.6">
      <c r="C55" s="39"/>
      <c r="D55" s="39"/>
      <c r="E55" s="40"/>
      <c r="F55" s="40"/>
      <c r="G55" s="40"/>
      <c r="H55" s="40"/>
      <c r="I55" s="39"/>
      <c r="J55" s="39"/>
      <c r="K55" s="39"/>
      <c r="L55" s="39"/>
    </row>
    <row r="56" spans="3:12" ht="15.5" thickBot="1" x14ac:dyDescent="0.6">
      <c r="C56" s="39"/>
      <c r="D56" s="39"/>
      <c r="E56" s="40"/>
      <c r="F56" s="40"/>
      <c r="G56" s="40"/>
      <c r="H56" s="40"/>
      <c r="I56" s="39"/>
      <c r="J56" s="39"/>
      <c r="K56" s="39"/>
      <c r="L56" s="39"/>
    </row>
    <row r="57" spans="3:12" ht="15.5" thickBot="1" x14ac:dyDescent="0.6">
      <c r="C57" s="39"/>
      <c r="D57" s="39"/>
      <c r="E57" s="40"/>
      <c r="F57" s="40"/>
      <c r="G57" s="40"/>
      <c r="H57" s="40"/>
      <c r="I57" s="39"/>
      <c r="J57" s="39"/>
      <c r="K57" s="39"/>
      <c r="L57" s="39"/>
    </row>
    <row r="58" spans="3:12" ht="15.5" thickBot="1" x14ac:dyDescent="0.6">
      <c r="C58" s="39"/>
      <c r="D58" s="39"/>
      <c r="E58" s="40"/>
      <c r="F58" s="40"/>
      <c r="G58" s="40"/>
      <c r="H58" s="40"/>
      <c r="I58" s="39"/>
      <c r="J58" s="39"/>
      <c r="K58" s="39"/>
      <c r="L58" s="39"/>
    </row>
    <row r="59" spans="3:12" ht="15.5" thickBot="1" x14ac:dyDescent="0.6">
      <c r="C59" s="39"/>
      <c r="D59" s="39"/>
      <c r="E59" s="40"/>
      <c r="F59" s="40"/>
      <c r="G59" s="40"/>
      <c r="H59" s="40"/>
      <c r="I59" s="39"/>
      <c r="J59" s="39"/>
      <c r="K59" s="39"/>
      <c r="L59" s="39"/>
    </row>
    <row r="60" spans="3:12" ht="15.5" thickBot="1" x14ac:dyDescent="0.6">
      <c r="C60" s="39"/>
      <c r="D60" s="39"/>
      <c r="E60" s="40"/>
      <c r="F60" s="40"/>
      <c r="G60" s="40"/>
      <c r="H60" s="40"/>
      <c r="I60" s="39"/>
      <c r="J60" s="39"/>
      <c r="K60" s="39"/>
      <c r="L60" s="39"/>
    </row>
    <row r="61" spans="3:12" ht="15.5" thickBot="1" x14ac:dyDescent="0.6">
      <c r="C61" s="39"/>
      <c r="D61" s="39"/>
      <c r="E61" s="40"/>
      <c r="F61" s="40"/>
      <c r="G61" s="40"/>
      <c r="H61" s="40"/>
      <c r="I61" s="39"/>
      <c r="J61" s="39"/>
      <c r="K61" s="39"/>
      <c r="L61" s="39"/>
    </row>
    <row r="62" spans="3:12" ht="15.5" thickBot="1" x14ac:dyDescent="0.6">
      <c r="C62" s="39"/>
      <c r="D62" s="39"/>
      <c r="E62" s="40"/>
      <c r="F62" s="40"/>
      <c r="G62" s="40"/>
      <c r="H62" s="40"/>
      <c r="I62" s="39"/>
      <c r="J62" s="39"/>
      <c r="K62" s="39"/>
      <c r="L62" s="39"/>
    </row>
    <row r="63" spans="3:12" ht="15.5" thickBot="1" x14ac:dyDescent="0.6">
      <c r="C63" s="39"/>
      <c r="D63" s="39"/>
      <c r="E63" s="40"/>
      <c r="F63" s="40"/>
      <c r="G63" s="40"/>
      <c r="H63" s="40"/>
      <c r="I63" s="39"/>
      <c r="J63" s="39"/>
      <c r="K63" s="39"/>
      <c r="L63" s="39"/>
    </row>
    <row r="64" spans="3:12" ht="15.5" thickBot="1" x14ac:dyDescent="0.6">
      <c r="C64" s="39"/>
      <c r="D64" s="39"/>
      <c r="E64" s="40"/>
      <c r="F64" s="40"/>
      <c r="G64" s="40"/>
      <c r="H64" s="40"/>
      <c r="I64" s="39"/>
      <c r="J64" s="39"/>
      <c r="K64" s="39"/>
      <c r="L64" s="39"/>
    </row>
    <row r="65" spans="3:12" ht="15.5" thickBot="1" x14ac:dyDescent="0.6">
      <c r="C65" s="39"/>
      <c r="D65" s="39"/>
      <c r="E65" s="40"/>
      <c r="F65" s="40"/>
      <c r="G65" s="40"/>
      <c r="H65" s="40"/>
      <c r="I65" s="39"/>
      <c r="J65" s="39"/>
      <c r="K65" s="39"/>
      <c r="L65" s="39"/>
    </row>
    <row r="66" spans="3:12" ht="15.5" thickBot="1" x14ac:dyDescent="0.6">
      <c r="C66" s="39"/>
      <c r="D66" s="39"/>
      <c r="E66" s="40"/>
      <c r="F66" s="40"/>
      <c r="G66" s="40"/>
      <c r="H66" s="40"/>
      <c r="I66" s="39"/>
      <c r="J66" s="39"/>
      <c r="K66" s="39"/>
      <c r="L66" s="39"/>
    </row>
    <row r="67" spans="3:12" ht="15.5" thickBot="1" x14ac:dyDescent="0.6">
      <c r="C67" s="39"/>
      <c r="D67" s="39"/>
      <c r="E67" s="40"/>
      <c r="F67" s="40"/>
      <c r="G67" s="40"/>
      <c r="H67" s="40"/>
      <c r="I67" s="39"/>
      <c r="J67" s="39"/>
      <c r="K67" s="39"/>
      <c r="L67" s="39"/>
    </row>
    <row r="68" spans="3:12" ht="15.5" thickBot="1" x14ac:dyDescent="0.6">
      <c r="C68" s="39"/>
      <c r="D68" s="39"/>
      <c r="E68" s="40"/>
      <c r="F68" s="40"/>
      <c r="G68" s="40"/>
      <c r="H68" s="40"/>
      <c r="I68" s="39"/>
      <c r="J68" s="39"/>
      <c r="K68" s="39"/>
      <c r="L68" s="39"/>
    </row>
    <row r="69" spans="3:12" ht="15.5" thickBot="1" x14ac:dyDescent="0.6">
      <c r="C69" s="39"/>
      <c r="D69" s="39"/>
      <c r="E69" s="40"/>
      <c r="F69" s="40"/>
      <c r="G69" s="40"/>
      <c r="H69" s="40"/>
      <c r="I69" s="39"/>
      <c r="J69" s="39"/>
      <c r="K69" s="39"/>
      <c r="L69" s="39"/>
    </row>
    <row r="70" spans="3:12" ht="15.5" thickBot="1" x14ac:dyDescent="0.6">
      <c r="C70" s="39"/>
      <c r="D70" s="39"/>
      <c r="E70" s="40"/>
      <c r="F70" s="40"/>
      <c r="G70" s="40"/>
      <c r="H70" s="40"/>
      <c r="I70" s="39"/>
      <c r="J70" s="39"/>
      <c r="K70" s="39"/>
      <c r="L70" s="39"/>
    </row>
    <row r="71" spans="3:12" ht="15.5" thickBot="1" x14ac:dyDescent="0.6">
      <c r="C71" s="39"/>
      <c r="D71" s="39"/>
      <c r="E71" s="40"/>
      <c r="F71" s="40"/>
      <c r="G71" s="40"/>
      <c r="H71" s="40"/>
      <c r="I71" s="39"/>
      <c r="J71" s="39"/>
      <c r="K71" s="39"/>
      <c r="L71" s="39"/>
    </row>
    <row r="72" spans="3:12" ht="15.5" thickBot="1" x14ac:dyDescent="0.6">
      <c r="C72" s="39"/>
      <c r="D72" s="39"/>
      <c r="E72" s="40"/>
      <c r="F72" s="40"/>
      <c r="G72" s="40"/>
      <c r="H72" s="40"/>
      <c r="I72" s="39"/>
      <c r="J72" s="39"/>
      <c r="K72" s="39"/>
      <c r="L72" s="39"/>
    </row>
    <row r="73" spans="3:12" ht="15.5" thickBot="1" x14ac:dyDescent="0.6">
      <c r="C73" s="39"/>
      <c r="D73" s="39"/>
      <c r="E73" s="40"/>
      <c r="F73" s="40"/>
      <c r="G73" s="40"/>
      <c r="H73" s="40"/>
      <c r="I73" s="39"/>
      <c r="J73" s="39"/>
      <c r="K73" s="39"/>
      <c r="L73" s="39"/>
    </row>
    <row r="74" spans="3:12" ht="15.5" thickBot="1" x14ac:dyDescent="0.6">
      <c r="C74" s="39"/>
      <c r="D74" s="39"/>
      <c r="E74" s="40"/>
      <c r="F74" s="40"/>
      <c r="G74" s="40"/>
      <c r="H74" s="40"/>
      <c r="I74" s="39"/>
      <c r="J74" s="39"/>
      <c r="K74" s="39"/>
      <c r="L74" s="39"/>
    </row>
    <row r="75" spans="3:12" ht="15.5" thickBot="1" x14ac:dyDescent="0.6">
      <c r="C75" s="39"/>
      <c r="D75" s="39"/>
      <c r="E75" s="40"/>
      <c r="F75" s="40"/>
      <c r="G75" s="40"/>
      <c r="H75" s="40"/>
      <c r="I75" s="39"/>
      <c r="J75" s="39"/>
      <c r="K75" s="39"/>
      <c r="L75" s="39"/>
    </row>
    <row r="76" spans="3:12" ht="15.5" thickBot="1" x14ac:dyDescent="0.6">
      <c r="C76" s="39"/>
      <c r="D76" s="39"/>
      <c r="E76" s="40"/>
      <c r="F76" s="40"/>
      <c r="G76" s="40"/>
      <c r="H76" s="40"/>
      <c r="I76" s="39"/>
      <c r="J76" s="39"/>
      <c r="K76" s="39"/>
      <c r="L76" s="39"/>
    </row>
    <row r="77" spans="3:12" ht="15.5" thickBot="1" x14ac:dyDescent="0.6">
      <c r="C77" s="39"/>
      <c r="D77" s="39"/>
      <c r="E77" s="40"/>
      <c r="F77" s="40"/>
      <c r="G77" s="40"/>
      <c r="H77" s="40"/>
      <c r="I77" s="39"/>
      <c r="J77" s="39"/>
      <c r="K77" s="39"/>
      <c r="L77" s="39"/>
    </row>
    <row r="78" spans="3:12" ht="15.5" thickBot="1" x14ac:dyDescent="0.6">
      <c r="C78" s="39"/>
      <c r="D78" s="39"/>
      <c r="E78" s="40"/>
      <c r="F78" s="40"/>
      <c r="G78" s="40"/>
      <c r="H78" s="40"/>
      <c r="I78" s="39"/>
      <c r="J78" s="39"/>
      <c r="K78" s="39"/>
      <c r="L78" s="39"/>
    </row>
    <row r="79" spans="3:12" ht="15.5" thickBot="1" x14ac:dyDescent="0.6">
      <c r="C79" s="39"/>
      <c r="D79" s="39"/>
      <c r="E79" s="40"/>
      <c r="F79" s="40"/>
      <c r="G79" s="40"/>
      <c r="H79" s="40"/>
      <c r="I79" s="39"/>
      <c r="J79" s="39"/>
      <c r="K79" s="39"/>
      <c r="L79" s="39"/>
    </row>
    <row r="80" spans="3:12" ht="15.5" thickBot="1" x14ac:dyDescent="0.6">
      <c r="C80" s="39"/>
      <c r="D80" s="39"/>
      <c r="E80" s="40"/>
      <c r="F80" s="40"/>
      <c r="G80" s="40"/>
      <c r="H80" s="40"/>
      <c r="I80" s="39"/>
      <c r="J80" s="39"/>
      <c r="K80" s="39"/>
      <c r="L80" s="39"/>
    </row>
    <row r="81" spans="3:12" ht="15.5" thickBot="1" x14ac:dyDescent="0.6">
      <c r="C81" s="39"/>
      <c r="D81" s="39"/>
      <c r="E81" s="40"/>
      <c r="F81" s="40"/>
      <c r="G81" s="40"/>
      <c r="H81" s="40"/>
      <c r="I81" s="39"/>
      <c r="J81" s="39"/>
      <c r="K81" s="39"/>
      <c r="L81" s="39"/>
    </row>
    <row r="82" spans="3:12" ht="15.5" thickBot="1" x14ac:dyDescent="0.6">
      <c r="C82" s="39"/>
      <c r="D82" s="39"/>
      <c r="E82" s="40"/>
      <c r="F82" s="40"/>
      <c r="G82" s="40"/>
      <c r="H82" s="40"/>
      <c r="I82" s="39"/>
      <c r="J82" s="39"/>
      <c r="K82" s="39"/>
      <c r="L82" s="39"/>
    </row>
    <row r="83" spans="3:12" ht="15.5" thickBot="1" x14ac:dyDescent="0.6">
      <c r="C83" s="39"/>
      <c r="D83" s="39"/>
      <c r="E83" s="40"/>
      <c r="F83" s="40"/>
      <c r="G83" s="40"/>
      <c r="H83" s="40"/>
      <c r="I83" s="39"/>
      <c r="J83" s="39"/>
      <c r="K83" s="39"/>
      <c r="L83" s="39"/>
    </row>
    <row r="84" spans="3:12" ht="15.5" thickBot="1" x14ac:dyDescent="0.6">
      <c r="C84" s="39"/>
      <c r="D84" s="39"/>
      <c r="E84" s="40"/>
      <c r="F84" s="40"/>
      <c r="G84" s="40"/>
      <c r="H84" s="40"/>
      <c r="I84" s="39"/>
      <c r="J84" s="39"/>
      <c r="K84" s="39"/>
      <c r="L84" s="39"/>
    </row>
    <row r="85" spans="3:12" ht="15.5" thickBot="1" x14ac:dyDescent="0.6">
      <c r="C85" s="39"/>
      <c r="D85" s="39"/>
      <c r="E85" s="40"/>
      <c r="F85" s="40"/>
      <c r="G85" s="40"/>
      <c r="H85" s="40"/>
      <c r="I85" s="39"/>
      <c r="J85" s="39"/>
      <c r="K85" s="39"/>
      <c r="L85" s="39"/>
    </row>
    <row r="86" spans="3:12" ht="15.5" thickBot="1" x14ac:dyDescent="0.6">
      <c r="C86" s="39"/>
      <c r="D86" s="39"/>
      <c r="E86" s="40"/>
      <c r="F86" s="40"/>
      <c r="G86" s="40"/>
      <c r="H86" s="40"/>
      <c r="I86" s="39"/>
      <c r="J86" s="39"/>
      <c r="K86" s="39"/>
      <c r="L86" s="39"/>
    </row>
    <row r="87" spans="3:12" ht="15.5" thickBot="1" x14ac:dyDescent="0.6">
      <c r="C87" s="39"/>
      <c r="D87" s="39"/>
      <c r="E87" s="40"/>
      <c r="F87" s="40"/>
      <c r="G87" s="40"/>
      <c r="H87" s="40"/>
      <c r="I87" s="39"/>
      <c r="J87" s="39"/>
      <c r="K87" s="39"/>
      <c r="L87" s="39"/>
    </row>
    <row r="88" spans="3:12" ht="15.5" thickBot="1" x14ac:dyDescent="0.6">
      <c r="C88" s="39"/>
      <c r="D88" s="39"/>
      <c r="E88" s="40"/>
      <c r="F88" s="40"/>
      <c r="G88" s="40"/>
      <c r="H88" s="40"/>
      <c r="I88" s="39"/>
      <c r="J88" s="39"/>
      <c r="K88" s="39"/>
      <c r="L88" s="39"/>
    </row>
    <row r="89" spans="3:12" ht="15.5" thickBot="1" x14ac:dyDescent="0.6">
      <c r="C89" s="39"/>
      <c r="D89" s="39"/>
      <c r="E89" s="40"/>
      <c r="F89" s="40"/>
      <c r="G89" s="40"/>
      <c r="H89" s="40"/>
      <c r="I89" s="39"/>
      <c r="J89" s="39"/>
      <c r="K89" s="39"/>
      <c r="L89" s="39"/>
    </row>
    <row r="90" spans="3:12" ht="15.5" thickBot="1" x14ac:dyDescent="0.6">
      <c r="C90" s="39"/>
      <c r="D90" s="39"/>
      <c r="E90" s="40"/>
      <c r="F90" s="40"/>
      <c r="G90" s="40"/>
      <c r="H90" s="40"/>
      <c r="I90" s="39"/>
      <c r="J90" s="39"/>
      <c r="K90" s="39"/>
      <c r="L90" s="39"/>
    </row>
    <row r="91" spans="3:12" ht="15.5" thickBot="1" x14ac:dyDescent="0.6">
      <c r="C91" s="39"/>
      <c r="D91" s="39"/>
      <c r="E91" s="40"/>
      <c r="F91" s="40"/>
      <c r="G91" s="40"/>
      <c r="H91" s="40"/>
      <c r="I91" s="39"/>
      <c r="J91" s="39"/>
      <c r="K91" s="39"/>
      <c r="L91" s="39"/>
    </row>
    <row r="92" spans="3:12" ht="15.5" thickBot="1" x14ac:dyDescent="0.6">
      <c r="C92" s="39"/>
      <c r="D92" s="39"/>
      <c r="E92" s="40"/>
      <c r="F92" s="40"/>
      <c r="G92" s="40"/>
      <c r="H92" s="40"/>
      <c r="I92" s="39"/>
      <c r="J92" s="39"/>
      <c r="K92" s="39"/>
      <c r="L92" s="39"/>
    </row>
    <row r="93" spans="3:12" ht="15.5" thickBot="1" x14ac:dyDescent="0.6">
      <c r="C93" s="39"/>
      <c r="D93" s="39"/>
      <c r="E93" s="40"/>
      <c r="F93" s="40"/>
      <c r="G93" s="40"/>
      <c r="H93" s="40"/>
      <c r="I93" s="39"/>
      <c r="J93" s="39"/>
      <c r="K93" s="39"/>
      <c r="L93" s="39"/>
    </row>
    <row r="94" spans="3:12" ht="15.5" thickBot="1" x14ac:dyDescent="0.6">
      <c r="C94" s="39"/>
      <c r="D94" s="39"/>
      <c r="E94" s="40"/>
      <c r="F94" s="40"/>
      <c r="G94" s="40"/>
      <c r="H94" s="40"/>
      <c r="I94" s="39"/>
      <c r="J94" s="39"/>
      <c r="K94" s="39"/>
      <c r="L94" s="39"/>
    </row>
    <row r="95" spans="3:12" ht="15.5" thickBot="1" x14ac:dyDescent="0.6">
      <c r="C95" s="39"/>
      <c r="D95" s="39"/>
      <c r="E95" s="40"/>
      <c r="F95" s="40"/>
      <c r="G95" s="40"/>
      <c r="H95" s="40"/>
      <c r="I95" s="39"/>
      <c r="J95" s="39"/>
      <c r="K95" s="39"/>
      <c r="L95" s="39"/>
    </row>
    <row r="96" spans="3:12" ht="15.5" thickBot="1" x14ac:dyDescent="0.6">
      <c r="C96" s="39"/>
      <c r="D96" s="39"/>
      <c r="E96" s="40"/>
      <c r="F96" s="40"/>
      <c r="G96" s="40"/>
      <c r="H96" s="40"/>
      <c r="I96" s="39"/>
      <c r="J96" s="39"/>
      <c r="K96" s="39"/>
      <c r="L96" s="39"/>
    </row>
    <row r="97" spans="3:12" ht="15.5" thickBot="1" x14ac:dyDescent="0.6">
      <c r="C97" s="39"/>
      <c r="D97" s="39"/>
      <c r="E97" s="40"/>
      <c r="F97" s="40"/>
      <c r="G97" s="40"/>
      <c r="H97" s="40"/>
      <c r="I97" s="39"/>
      <c r="J97" s="39"/>
      <c r="K97" s="39"/>
      <c r="L97" s="39"/>
    </row>
    <row r="98" spans="3:12" ht="15.5" thickBot="1" x14ac:dyDescent="0.6">
      <c r="C98" s="39"/>
      <c r="D98" s="39"/>
      <c r="E98" s="40"/>
      <c r="F98" s="40"/>
      <c r="G98" s="40"/>
      <c r="H98" s="40"/>
      <c r="I98" s="39"/>
      <c r="J98" s="39"/>
      <c r="K98" s="39"/>
      <c r="L98" s="39"/>
    </row>
    <row r="99" spans="3:12" ht="15.5" thickBot="1" x14ac:dyDescent="0.6">
      <c r="C99" s="39"/>
      <c r="D99" s="39"/>
      <c r="E99" s="40"/>
      <c r="F99" s="40"/>
      <c r="G99" s="40"/>
      <c r="H99" s="40"/>
      <c r="I99" s="39"/>
      <c r="J99" s="39"/>
      <c r="K99" s="39"/>
      <c r="L99" s="39"/>
    </row>
    <row r="100" spans="3:12" ht="15.5" thickBot="1" x14ac:dyDescent="0.6">
      <c r="C100" s="39"/>
      <c r="D100" s="39"/>
      <c r="E100" s="40"/>
      <c r="F100" s="40"/>
      <c r="G100" s="40"/>
      <c r="H100" s="40"/>
      <c r="I100" s="39"/>
      <c r="J100" s="39"/>
      <c r="K100" s="39"/>
      <c r="L100" s="39"/>
    </row>
    <row r="101" spans="3:12" ht="15.5" thickBot="1" x14ac:dyDescent="0.6">
      <c r="C101" s="39"/>
      <c r="D101" s="39"/>
      <c r="E101" s="40"/>
      <c r="F101" s="40"/>
      <c r="G101" s="40"/>
      <c r="H101" s="40"/>
      <c r="I101" s="39"/>
      <c r="J101" s="39"/>
      <c r="K101" s="39"/>
      <c r="L101" s="39"/>
    </row>
    <row r="102" spans="3:12" ht="15.5" thickBot="1" x14ac:dyDescent="0.6">
      <c r="C102" s="39"/>
      <c r="D102" s="39"/>
      <c r="E102" s="40"/>
      <c r="F102" s="40"/>
      <c r="G102" s="40"/>
      <c r="H102" s="40"/>
      <c r="I102" s="39"/>
      <c r="J102" s="39"/>
      <c r="K102" s="39"/>
      <c r="L102" s="39"/>
    </row>
    <row r="103" spans="3:12" ht="15.5" thickBot="1" x14ac:dyDescent="0.6">
      <c r="C103" s="39"/>
      <c r="D103" s="39"/>
      <c r="E103" s="40"/>
      <c r="F103" s="40"/>
      <c r="G103" s="40"/>
      <c r="H103" s="40"/>
      <c r="I103" s="39"/>
      <c r="J103" s="39"/>
      <c r="K103" s="39"/>
      <c r="L103" s="39"/>
    </row>
    <row r="104" spans="3:12" ht="15.5" thickBot="1" x14ac:dyDescent="0.6">
      <c r="C104" s="39"/>
      <c r="D104" s="39"/>
      <c r="E104" s="40"/>
      <c r="F104" s="40"/>
      <c r="G104" s="40"/>
      <c r="H104" s="40"/>
      <c r="I104" s="39"/>
      <c r="J104" s="39"/>
      <c r="K104" s="39"/>
      <c r="L104" s="39"/>
    </row>
    <row r="105" spans="3:12" ht="15.5" thickBot="1" x14ac:dyDescent="0.6">
      <c r="C105" s="39"/>
      <c r="D105" s="39"/>
      <c r="E105" s="40"/>
      <c r="F105" s="40"/>
      <c r="G105" s="40"/>
      <c r="H105" s="40"/>
      <c r="I105" s="39"/>
      <c r="J105" s="39"/>
      <c r="K105" s="39"/>
      <c r="L105" s="39"/>
    </row>
    <row r="106" spans="3:12" ht="15.5" thickBot="1" x14ac:dyDescent="0.6">
      <c r="C106" s="39"/>
      <c r="D106" s="39"/>
      <c r="E106" s="40"/>
      <c r="F106" s="40"/>
      <c r="G106" s="40"/>
      <c r="H106" s="40"/>
      <c r="I106" s="39"/>
      <c r="J106" s="39"/>
      <c r="K106" s="39"/>
      <c r="L106" s="39"/>
    </row>
    <row r="107" spans="3:12" ht="15.5" thickBot="1" x14ac:dyDescent="0.6">
      <c r="C107" s="39"/>
      <c r="D107" s="39"/>
      <c r="E107" s="40"/>
      <c r="F107" s="40"/>
      <c r="G107" s="40"/>
      <c r="H107" s="40"/>
      <c r="I107" s="39"/>
      <c r="J107" s="39"/>
      <c r="K107" s="39"/>
      <c r="L107" s="39"/>
    </row>
    <row r="108" spans="3:12" ht="15.5" thickBot="1" x14ac:dyDescent="0.6">
      <c r="C108" s="39"/>
      <c r="D108" s="39"/>
      <c r="E108" s="40"/>
      <c r="F108" s="40"/>
      <c r="G108" s="40"/>
      <c r="H108" s="40"/>
      <c r="I108" s="39"/>
      <c r="J108" s="39"/>
      <c r="K108" s="39"/>
      <c r="L108" s="39"/>
    </row>
    <row r="109" spans="3:12" ht="15.5" thickBot="1" x14ac:dyDescent="0.6">
      <c r="C109" s="39"/>
      <c r="D109" s="39"/>
      <c r="E109" s="40"/>
      <c r="F109" s="40"/>
      <c r="G109" s="40"/>
      <c r="H109" s="40"/>
      <c r="I109" s="39"/>
      <c r="J109" s="39"/>
      <c r="K109" s="39"/>
      <c r="L109" s="39"/>
    </row>
    <row r="110" spans="3:12" ht="15.5" thickBot="1" x14ac:dyDescent="0.6">
      <c r="C110" s="39"/>
      <c r="D110" s="39"/>
      <c r="E110" s="40"/>
      <c r="F110" s="40"/>
      <c r="G110" s="40"/>
      <c r="H110" s="40"/>
      <c r="I110" s="39"/>
      <c r="J110" s="39"/>
      <c r="K110" s="39"/>
      <c r="L110" s="39"/>
    </row>
    <row r="111" spans="3:12" ht="15.5" thickBot="1" x14ac:dyDescent="0.6">
      <c r="C111" s="39"/>
      <c r="D111" s="39"/>
      <c r="E111" s="40"/>
      <c r="F111" s="40"/>
      <c r="G111" s="40"/>
      <c r="H111" s="40"/>
      <c r="I111" s="39"/>
      <c r="J111" s="39"/>
      <c r="K111" s="39"/>
      <c r="L111" s="39"/>
    </row>
    <row r="112" spans="3:12" ht="15.5" thickBot="1" x14ac:dyDescent="0.6">
      <c r="C112" s="39"/>
      <c r="D112" s="39"/>
      <c r="E112" s="40"/>
      <c r="F112" s="40"/>
      <c r="G112" s="40"/>
      <c r="H112" s="40"/>
      <c r="I112" s="39"/>
      <c r="J112" s="39"/>
      <c r="K112" s="39"/>
      <c r="L112" s="39"/>
    </row>
    <row r="113" spans="3:12" ht="15.5" thickBot="1" x14ac:dyDescent="0.6">
      <c r="C113" s="39"/>
      <c r="D113" s="39"/>
      <c r="E113" s="40"/>
      <c r="F113" s="40"/>
      <c r="G113" s="40"/>
      <c r="H113" s="40"/>
      <c r="I113" s="39"/>
      <c r="J113" s="39"/>
      <c r="K113" s="39"/>
      <c r="L113" s="39"/>
    </row>
    <row r="114" spans="3:12" ht="15.5" thickBot="1" x14ac:dyDescent="0.6">
      <c r="C114" s="39"/>
      <c r="D114" s="39"/>
      <c r="E114" s="40"/>
      <c r="F114" s="40"/>
      <c r="G114" s="40"/>
      <c r="H114" s="40"/>
      <c r="I114" s="39"/>
      <c r="J114" s="39"/>
      <c r="K114" s="39"/>
      <c r="L114" s="39"/>
    </row>
    <row r="115" spans="3:12" ht="15.5" thickBot="1" x14ac:dyDescent="0.6">
      <c r="C115" s="39"/>
      <c r="D115" s="39"/>
      <c r="E115" s="40"/>
      <c r="F115" s="40"/>
      <c r="G115" s="40"/>
      <c r="H115" s="40"/>
      <c r="I115" s="39"/>
      <c r="J115" s="39"/>
      <c r="K115" s="39"/>
      <c r="L115" s="39"/>
    </row>
    <row r="116" spans="3:12" ht="15.5" thickBot="1" x14ac:dyDescent="0.6">
      <c r="C116" s="39"/>
      <c r="D116" s="39"/>
      <c r="E116" s="40"/>
      <c r="F116" s="40"/>
      <c r="G116" s="40"/>
      <c r="H116" s="40"/>
      <c r="I116" s="39"/>
      <c r="J116" s="39"/>
      <c r="K116" s="39"/>
      <c r="L116" s="39"/>
    </row>
    <row r="117" spans="3:12" ht="15.5" thickBot="1" x14ac:dyDescent="0.6">
      <c r="C117" s="39"/>
      <c r="D117" s="39"/>
      <c r="E117" s="40"/>
      <c r="F117" s="40"/>
      <c r="G117" s="40"/>
      <c r="H117" s="40"/>
      <c r="I117" s="39"/>
      <c r="J117" s="39"/>
      <c r="K117" s="39"/>
      <c r="L117" s="39"/>
    </row>
    <row r="118" spans="3:12" ht="15.5" thickBot="1" x14ac:dyDescent="0.6">
      <c r="C118" s="39"/>
      <c r="D118" s="39"/>
      <c r="E118" s="40"/>
      <c r="F118" s="40"/>
      <c r="G118" s="40"/>
      <c r="H118" s="40"/>
      <c r="I118" s="39"/>
      <c r="J118" s="39"/>
      <c r="K118" s="39"/>
      <c r="L118" s="39"/>
    </row>
    <row r="119" spans="3:12" ht="15.5" thickBot="1" x14ac:dyDescent="0.6">
      <c r="C119" s="39"/>
      <c r="D119" s="39"/>
      <c r="E119" s="40"/>
      <c r="F119" s="40"/>
      <c r="G119" s="40"/>
      <c r="H119" s="40"/>
      <c r="I119" s="39"/>
      <c r="J119" s="39"/>
      <c r="K119" s="39"/>
      <c r="L119" s="39"/>
    </row>
    <row r="120" spans="3:12" ht="15.5" thickBot="1" x14ac:dyDescent="0.6">
      <c r="C120" s="39"/>
      <c r="D120" s="39"/>
      <c r="E120" s="40"/>
      <c r="F120" s="40"/>
      <c r="G120" s="40"/>
      <c r="H120" s="40"/>
      <c r="I120" s="39"/>
      <c r="J120" s="39"/>
      <c r="K120" s="39"/>
      <c r="L120" s="39"/>
    </row>
    <row r="121" spans="3:12" ht="15.5" thickBot="1" x14ac:dyDescent="0.6">
      <c r="C121" s="39"/>
      <c r="D121" s="39"/>
      <c r="E121" s="40"/>
      <c r="F121" s="40"/>
      <c r="G121" s="40"/>
      <c r="H121" s="40"/>
      <c r="I121" s="39"/>
      <c r="J121" s="39"/>
      <c r="K121" s="39"/>
      <c r="L121" s="39"/>
    </row>
    <row r="122" spans="3:12" ht="15.5" thickBot="1" x14ac:dyDescent="0.6">
      <c r="C122" s="39"/>
      <c r="D122" s="39"/>
      <c r="E122" s="40"/>
      <c r="F122" s="40"/>
      <c r="G122" s="40"/>
      <c r="H122" s="40"/>
      <c r="I122" s="39"/>
      <c r="J122" s="39"/>
      <c r="K122" s="39"/>
      <c r="L122" s="39"/>
    </row>
    <row r="123" spans="3:12" ht="15.5" thickBot="1" x14ac:dyDescent="0.6">
      <c r="C123" s="39"/>
      <c r="D123" s="39"/>
      <c r="E123" s="40"/>
      <c r="F123" s="40"/>
      <c r="G123" s="40"/>
      <c r="H123" s="40"/>
      <c r="I123" s="39"/>
      <c r="J123" s="39"/>
      <c r="K123" s="39"/>
      <c r="L123" s="39"/>
    </row>
    <row r="124" spans="3:12" ht="15.5" thickBot="1" x14ac:dyDescent="0.6">
      <c r="C124" s="39"/>
      <c r="D124" s="39"/>
      <c r="E124" s="40"/>
      <c r="F124" s="40"/>
      <c r="G124" s="40"/>
      <c r="H124" s="40"/>
      <c r="I124" s="39"/>
      <c r="J124" s="39"/>
      <c r="K124" s="39"/>
      <c r="L124" s="39"/>
    </row>
    <row r="125" spans="3:12" ht="15.5" thickBot="1" x14ac:dyDescent="0.6">
      <c r="C125" s="39"/>
      <c r="D125" s="39"/>
      <c r="E125" s="40"/>
      <c r="F125" s="40"/>
      <c r="G125" s="40"/>
      <c r="H125" s="40"/>
      <c r="I125" s="39"/>
      <c r="J125" s="39"/>
      <c r="K125" s="39"/>
      <c r="L125" s="39"/>
    </row>
    <row r="126" spans="3:12" ht="15.5" thickBot="1" x14ac:dyDescent="0.6">
      <c r="C126" s="39"/>
      <c r="D126" s="39"/>
      <c r="E126" s="40"/>
      <c r="F126" s="40"/>
      <c r="G126" s="40"/>
      <c r="H126" s="40"/>
      <c r="I126" s="39"/>
      <c r="J126" s="39"/>
      <c r="K126" s="39"/>
      <c r="L126" s="39"/>
    </row>
    <row r="127" spans="3:12" ht="15.5" thickBot="1" x14ac:dyDescent="0.6">
      <c r="C127" s="39"/>
      <c r="D127" s="39"/>
      <c r="E127" s="40"/>
      <c r="F127" s="40"/>
      <c r="G127" s="40"/>
      <c r="H127" s="40"/>
      <c r="I127" s="39"/>
      <c r="J127" s="39"/>
      <c r="K127" s="39"/>
      <c r="L127" s="39"/>
    </row>
    <row r="128" spans="3:12" ht="15.5" thickBot="1" x14ac:dyDescent="0.6">
      <c r="C128" s="39"/>
      <c r="D128" s="39"/>
      <c r="E128" s="40"/>
      <c r="F128" s="40"/>
      <c r="G128" s="40"/>
      <c r="H128" s="40"/>
      <c r="I128" s="39"/>
      <c r="J128" s="39"/>
      <c r="K128" s="39"/>
      <c r="L128" s="39"/>
    </row>
    <row r="129" spans="3:12" ht="15.5" thickBot="1" x14ac:dyDescent="0.6">
      <c r="C129" s="39"/>
      <c r="D129" s="39"/>
      <c r="E129" s="40"/>
      <c r="F129" s="40"/>
      <c r="G129" s="40"/>
      <c r="H129" s="40"/>
      <c r="I129" s="39"/>
      <c r="J129" s="39"/>
      <c r="K129" s="39"/>
      <c r="L129" s="39"/>
    </row>
    <row r="130" spans="3:12" ht="15.5" thickBot="1" x14ac:dyDescent="0.6">
      <c r="C130" s="39"/>
      <c r="D130" s="39"/>
      <c r="E130" s="40"/>
      <c r="F130" s="40"/>
      <c r="G130" s="40"/>
      <c r="H130" s="40"/>
      <c r="I130" s="39"/>
      <c r="J130" s="39"/>
      <c r="K130" s="39"/>
      <c r="L130" s="39"/>
    </row>
    <row r="131" spans="3:12" ht="15.5" thickBot="1" x14ac:dyDescent="0.6">
      <c r="C131" s="39"/>
      <c r="D131" s="39"/>
      <c r="E131" s="40"/>
      <c r="F131" s="40"/>
      <c r="G131" s="40"/>
      <c r="H131" s="40"/>
      <c r="I131" s="39"/>
      <c r="J131" s="39"/>
      <c r="K131" s="39"/>
      <c r="L131" s="39"/>
    </row>
    <row r="132" spans="3:12" ht="15.5" thickBot="1" x14ac:dyDescent="0.6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5.5" thickBot="1" x14ac:dyDescent="0.6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5.5" thickBot="1" x14ac:dyDescent="0.6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5.5" thickBot="1" x14ac:dyDescent="0.6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5.5" thickBot="1" x14ac:dyDescent="0.6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5.5" thickBot="1" x14ac:dyDescent="0.6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5.5" thickBot="1" x14ac:dyDescent="0.6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5.5" thickBot="1" x14ac:dyDescent="0.6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5.5" thickBot="1" x14ac:dyDescent="0.6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5.5" thickBot="1" x14ac:dyDescent="0.6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5.5" thickBot="1" x14ac:dyDescent="0.6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5.5" thickBot="1" x14ac:dyDescent="0.6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5.5" thickBot="1" x14ac:dyDescent="0.6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5.5" thickBot="1" x14ac:dyDescent="0.6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5.5" thickBot="1" x14ac:dyDescent="0.6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5.5" thickBot="1" x14ac:dyDescent="0.6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5.5" thickBot="1" x14ac:dyDescent="0.6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5.5" thickBot="1" x14ac:dyDescent="0.6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5.5" thickBot="1" x14ac:dyDescent="0.6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5.5" thickBot="1" x14ac:dyDescent="0.6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5.5" thickBot="1" x14ac:dyDescent="0.6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5.5" thickBot="1" x14ac:dyDescent="0.6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5.5" thickBot="1" x14ac:dyDescent="0.6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5.5" thickBot="1" x14ac:dyDescent="0.6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5.5" thickBot="1" x14ac:dyDescent="0.6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5.5" thickBot="1" x14ac:dyDescent="0.6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5.5" thickBot="1" x14ac:dyDescent="0.6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5.5" thickBot="1" x14ac:dyDescent="0.6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5.5" thickBot="1" x14ac:dyDescent="0.6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5.5" thickBot="1" x14ac:dyDescent="0.6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5.5" thickBot="1" x14ac:dyDescent="0.6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5.5" thickBot="1" x14ac:dyDescent="0.6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5.5" thickBot="1" x14ac:dyDescent="0.6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5.5" thickBot="1" x14ac:dyDescent="0.6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5.5" thickBot="1" x14ac:dyDescent="0.6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5.5" thickBot="1" x14ac:dyDescent="0.6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5.5" thickBot="1" x14ac:dyDescent="0.6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5.5" thickBot="1" x14ac:dyDescent="0.6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5.5" thickBot="1" x14ac:dyDescent="0.6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5.5" thickBot="1" x14ac:dyDescent="0.6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5.5" thickBot="1" x14ac:dyDescent="0.6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5.5" thickBot="1" x14ac:dyDescent="0.6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5.5" thickBot="1" x14ac:dyDescent="0.6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5.5" thickBot="1" x14ac:dyDescent="0.6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5.5" thickBot="1" x14ac:dyDescent="0.6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5.5" thickBot="1" x14ac:dyDescent="0.6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5.5" thickBot="1" x14ac:dyDescent="0.6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5.5" thickBot="1" x14ac:dyDescent="0.6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5.5" thickBot="1" x14ac:dyDescent="0.6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5.5" thickBot="1" x14ac:dyDescent="0.6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5.5" thickBot="1" x14ac:dyDescent="0.6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5.5" thickBot="1" x14ac:dyDescent="0.6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5.5" thickBot="1" x14ac:dyDescent="0.6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5.5" thickBot="1" x14ac:dyDescent="0.6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5.5" thickBot="1" x14ac:dyDescent="0.6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5.5" thickBot="1" x14ac:dyDescent="0.6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5.5" thickBot="1" x14ac:dyDescent="0.6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5.5" thickBot="1" x14ac:dyDescent="0.6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5.5" thickBot="1" x14ac:dyDescent="0.6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5.5" thickBot="1" x14ac:dyDescent="0.6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5.5" thickBot="1" x14ac:dyDescent="0.6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5.5" thickBot="1" x14ac:dyDescent="0.6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5.5" thickBot="1" x14ac:dyDescent="0.6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5.5" thickBot="1" x14ac:dyDescent="0.6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5.5" thickBot="1" x14ac:dyDescent="0.6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5.5" thickBot="1" x14ac:dyDescent="0.6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5.5" thickBot="1" x14ac:dyDescent="0.6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5.5" thickBot="1" x14ac:dyDescent="0.6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5.5" thickBot="1" x14ac:dyDescent="0.6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5.5" thickBot="1" x14ac:dyDescent="0.6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5.5" thickBot="1" x14ac:dyDescent="0.6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5.5" thickBot="1" x14ac:dyDescent="0.6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5.5" thickBot="1" x14ac:dyDescent="0.6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5.5" thickBot="1" x14ac:dyDescent="0.6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5.5" thickBot="1" x14ac:dyDescent="0.6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5.5" thickBot="1" x14ac:dyDescent="0.6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5.5" thickBot="1" x14ac:dyDescent="0.6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5.5" thickBot="1" x14ac:dyDescent="0.6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5.5" thickBot="1" x14ac:dyDescent="0.6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5.5" thickBot="1" x14ac:dyDescent="0.6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5.5" thickBot="1" x14ac:dyDescent="0.6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5.5" thickBot="1" x14ac:dyDescent="0.6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5.5" thickBot="1" x14ac:dyDescent="0.6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5.5" thickBot="1" x14ac:dyDescent="0.6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5.5" thickBot="1" x14ac:dyDescent="0.6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5.5" thickBot="1" x14ac:dyDescent="0.6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5.5" thickBot="1" x14ac:dyDescent="0.6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5.5" thickBot="1" x14ac:dyDescent="0.6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5.5" thickBot="1" x14ac:dyDescent="0.6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5.5" thickBot="1" x14ac:dyDescent="0.6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5.5" thickBot="1" x14ac:dyDescent="0.6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5.5" thickBot="1" x14ac:dyDescent="0.6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5.5" thickBot="1" x14ac:dyDescent="0.6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5.5" thickBot="1" x14ac:dyDescent="0.6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5.5" thickBot="1" x14ac:dyDescent="0.6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5.5" thickBot="1" x14ac:dyDescent="0.6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5.5" thickBot="1" x14ac:dyDescent="0.6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5.5" thickBot="1" x14ac:dyDescent="0.6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5.5" thickBot="1" x14ac:dyDescent="0.6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5.5" thickBot="1" x14ac:dyDescent="0.6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5.5" thickBot="1" x14ac:dyDescent="0.6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5.5" thickBot="1" x14ac:dyDescent="0.6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5.5" thickBot="1" x14ac:dyDescent="0.6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5.5" thickBot="1" x14ac:dyDescent="0.6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5.5" thickBot="1" x14ac:dyDescent="0.6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5.5" thickBot="1" x14ac:dyDescent="0.6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5.5" thickBot="1" x14ac:dyDescent="0.6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5.5" thickBot="1" x14ac:dyDescent="0.6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5.5" thickBot="1" x14ac:dyDescent="0.6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5.5" thickBot="1" x14ac:dyDescent="0.6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5.5" thickBot="1" x14ac:dyDescent="0.6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5.5" thickBot="1" x14ac:dyDescent="0.6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5.5" thickBot="1" x14ac:dyDescent="0.6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5.5" thickBot="1" x14ac:dyDescent="0.6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5.5" thickBot="1" x14ac:dyDescent="0.6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5.5" thickBot="1" x14ac:dyDescent="0.6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5.5" thickBot="1" x14ac:dyDescent="0.6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5.5" thickBot="1" x14ac:dyDescent="0.6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5.5" thickBot="1" x14ac:dyDescent="0.6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5.5" thickBot="1" x14ac:dyDescent="0.6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5.5" thickBot="1" x14ac:dyDescent="0.6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5.5" thickBot="1" x14ac:dyDescent="0.6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5.5" thickBot="1" x14ac:dyDescent="0.6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5.5" thickBot="1" x14ac:dyDescent="0.6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5.5" thickBot="1" x14ac:dyDescent="0.6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5.5" thickBot="1" x14ac:dyDescent="0.6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5.5" thickBot="1" x14ac:dyDescent="0.6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5.5" thickBot="1" x14ac:dyDescent="0.6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5.5" thickBot="1" x14ac:dyDescent="0.6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5.5" thickBot="1" x14ac:dyDescent="0.6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5.5" thickBot="1" x14ac:dyDescent="0.6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5.5" thickBot="1" x14ac:dyDescent="0.6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5.5" thickBot="1" x14ac:dyDescent="0.6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5.5" thickBot="1" x14ac:dyDescent="0.6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5.5" thickBot="1" x14ac:dyDescent="0.6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5.5" thickBot="1" x14ac:dyDescent="0.6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5.5" thickBot="1" x14ac:dyDescent="0.6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5.5" thickBot="1" x14ac:dyDescent="0.6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5.5" thickBot="1" x14ac:dyDescent="0.6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5.5" thickBot="1" x14ac:dyDescent="0.6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5.5" thickBot="1" x14ac:dyDescent="0.6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5.5" thickBot="1" x14ac:dyDescent="0.6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5.5" thickBot="1" x14ac:dyDescent="0.6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5.5" thickBot="1" x14ac:dyDescent="0.6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5.5" thickBot="1" x14ac:dyDescent="0.6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5.5" thickBot="1" x14ac:dyDescent="0.6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5.5" thickBot="1" x14ac:dyDescent="0.6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5.5" thickBot="1" x14ac:dyDescent="0.6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5.5" thickBot="1" x14ac:dyDescent="0.6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5.5" thickBot="1" x14ac:dyDescent="0.6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5.5" thickBot="1" x14ac:dyDescent="0.6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5.5" thickBot="1" x14ac:dyDescent="0.6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5.5" thickBot="1" x14ac:dyDescent="0.6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5.5" thickBot="1" x14ac:dyDescent="0.6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5.5" thickBot="1" x14ac:dyDescent="0.6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5.5" thickBot="1" x14ac:dyDescent="0.6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5.5" thickBot="1" x14ac:dyDescent="0.6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5.5" thickBot="1" x14ac:dyDescent="0.6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5.5" thickBot="1" x14ac:dyDescent="0.6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5.5" thickBot="1" x14ac:dyDescent="0.6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5.5" thickBot="1" x14ac:dyDescent="0.6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5.5" thickBot="1" x14ac:dyDescent="0.6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5.5" thickBot="1" x14ac:dyDescent="0.6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5.5" thickBot="1" x14ac:dyDescent="0.6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5.5" thickBot="1" x14ac:dyDescent="0.6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5.5" thickBot="1" x14ac:dyDescent="0.6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5.5" thickBot="1" x14ac:dyDescent="0.6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5.5" thickBot="1" x14ac:dyDescent="0.6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5.5" thickBot="1" x14ac:dyDescent="0.6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5.5" thickBot="1" x14ac:dyDescent="0.6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5.5" thickBot="1" x14ac:dyDescent="0.6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5.5" thickBot="1" x14ac:dyDescent="0.6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5.5" thickBot="1" x14ac:dyDescent="0.6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5.5" thickBot="1" x14ac:dyDescent="0.6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5.5" thickBot="1" x14ac:dyDescent="0.6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5.5" thickBot="1" x14ac:dyDescent="0.6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5.5" thickBot="1" x14ac:dyDescent="0.6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5.5" thickBot="1" x14ac:dyDescent="0.6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5.5" thickBot="1" x14ac:dyDescent="0.6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5.5" thickBot="1" x14ac:dyDescent="0.6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5.5" thickBot="1" x14ac:dyDescent="0.6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5.5" thickBot="1" x14ac:dyDescent="0.6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5.5" thickBot="1" x14ac:dyDescent="0.6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5.5" thickBot="1" x14ac:dyDescent="0.6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5.5" thickBot="1" x14ac:dyDescent="0.6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5.5" thickBot="1" x14ac:dyDescent="0.6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5.5" thickBot="1" x14ac:dyDescent="0.6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5.5" thickBot="1" x14ac:dyDescent="0.6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5.5" thickBot="1" x14ac:dyDescent="0.6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5.5" thickBot="1" x14ac:dyDescent="0.6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5.5" thickBot="1" x14ac:dyDescent="0.6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5.5" thickBot="1" x14ac:dyDescent="0.6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5.5" thickBot="1" x14ac:dyDescent="0.6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5.5" thickBot="1" x14ac:dyDescent="0.6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5.5" thickBot="1" x14ac:dyDescent="0.6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5.5" thickBot="1" x14ac:dyDescent="0.6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5.5" thickBot="1" x14ac:dyDescent="0.6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5.5" thickBot="1" x14ac:dyDescent="0.6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5.5" thickBot="1" x14ac:dyDescent="0.6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5.5" thickBot="1" x14ac:dyDescent="0.6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5.5" thickBot="1" x14ac:dyDescent="0.6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5.5" thickBot="1" x14ac:dyDescent="0.6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5.5" thickBot="1" x14ac:dyDescent="0.6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5.5" thickBot="1" x14ac:dyDescent="0.6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5.5" thickBot="1" x14ac:dyDescent="0.6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5.5" thickBot="1" x14ac:dyDescent="0.6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5.5" thickBot="1" x14ac:dyDescent="0.6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5.5" thickBot="1" x14ac:dyDescent="0.6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5.5" thickBot="1" x14ac:dyDescent="0.6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5.5" thickBot="1" x14ac:dyDescent="0.6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5.5" thickBot="1" x14ac:dyDescent="0.6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5.5" thickBot="1" x14ac:dyDescent="0.6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5.5" thickBot="1" x14ac:dyDescent="0.6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5.5" thickBot="1" x14ac:dyDescent="0.6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5.5" thickBot="1" x14ac:dyDescent="0.6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5.5" thickBot="1" x14ac:dyDescent="0.6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5.5" thickBot="1" x14ac:dyDescent="0.6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5.5" thickBot="1" x14ac:dyDescent="0.6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5.5" thickBot="1" x14ac:dyDescent="0.6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5.5" thickBot="1" x14ac:dyDescent="0.6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5.5" thickBot="1" x14ac:dyDescent="0.6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5.5" thickBot="1" x14ac:dyDescent="0.6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5.5" thickBot="1" x14ac:dyDescent="0.6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5.5" thickBot="1" x14ac:dyDescent="0.6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5.5" thickBot="1" x14ac:dyDescent="0.6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5.5" thickBot="1" x14ac:dyDescent="0.6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5.5" thickBot="1" x14ac:dyDescent="0.6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5.5" thickBot="1" x14ac:dyDescent="0.6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5.5" thickBot="1" x14ac:dyDescent="0.6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5.5" thickBot="1" x14ac:dyDescent="0.6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5.5" thickBot="1" x14ac:dyDescent="0.6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5.5" thickBot="1" x14ac:dyDescent="0.6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5.5" thickBot="1" x14ac:dyDescent="0.6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5.5" thickBot="1" x14ac:dyDescent="0.6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5.5" thickBot="1" x14ac:dyDescent="0.6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5.5" thickBot="1" x14ac:dyDescent="0.6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5.5" thickBot="1" x14ac:dyDescent="0.6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5.5" thickBot="1" x14ac:dyDescent="0.6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5.5" thickBot="1" x14ac:dyDescent="0.6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5.5" thickBot="1" x14ac:dyDescent="0.6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5.5" thickBot="1" x14ac:dyDescent="0.6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5.5" thickBot="1" x14ac:dyDescent="0.6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5.5" thickBot="1" x14ac:dyDescent="0.6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5.5" thickBot="1" x14ac:dyDescent="0.6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5.5" thickBot="1" x14ac:dyDescent="0.6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5.5" thickBot="1" x14ac:dyDescent="0.6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5.5" thickBot="1" x14ac:dyDescent="0.6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5.5" thickBot="1" x14ac:dyDescent="0.6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5.5" thickBot="1" x14ac:dyDescent="0.6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5.5" thickBot="1" x14ac:dyDescent="0.6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5.5" thickBot="1" x14ac:dyDescent="0.6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5.5" thickBot="1" x14ac:dyDescent="0.6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5.5" thickBot="1" x14ac:dyDescent="0.6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5.5" thickBot="1" x14ac:dyDescent="0.6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5.5" thickBot="1" x14ac:dyDescent="0.6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5.5" thickBot="1" x14ac:dyDescent="0.6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5.5" thickBot="1" x14ac:dyDescent="0.6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5.5" thickBot="1" x14ac:dyDescent="0.6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5.5" thickBot="1" x14ac:dyDescent="0.6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5.5" thickBot="1" x14ac:dyDescent="0.6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5.5" thickBot="1" x14ac:dyDescent="0.6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5.5" thickBot="1" x14ac:dyDescent="0.6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5.5" thickBot="1" x14ac:dyDescent="0.6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5.5" thickBot="1" x14ac:dyDescent="0.6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5.5" thickBot="1" x14ac:dyDescent="0.6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5.5" thickBot="1" x14ac:dyDescent="0.6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5.5" thickBot="1" x14ac:dyDescent="0.6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5.5" thickBot="1" x14ac:dyDescent="0.6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5.5" thickBot="1" x14ac:dyDescent="0.6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5.5" thickBot="1" x14ac:dyDescent="0.6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5.5" thickBot="1" x14ac:dyDescent="0.6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5.5" thickBot="1" x14ac:dyDescent="0.6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5.5" thickBot="1" x14ac:dyDescent="0.6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5.5" thickBot="1" x14ac:dyDescent="0.6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5.5" thickBot="1" x14ac:dyDescent="0.6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5.5" thickBot="1" x14ac:dyDescent="0.6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5.5" thickBot="1" x14ac:dyDescent="0.6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5.5" thickBot="1" x14ac:dyDescent="0.6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5.5" thickBot="1" x14ac:dyDescent="0.6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5.5" thickBot="1" x14ac:dyDescent="0.6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5.5" thickBot="1" x14ac:dyDescent="0.6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5.5" thickBot="1" x14ac:dyDescent="0.6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5.5" thickBot="1" x14ac:dyDescent="0.6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5.5" thickBot="1" x14ac:dyDescent="0.6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5.5" thickBot="1" x14ac:dyDescent="0.6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5.5" thickBot="1" x14ac:dyDescent="0.6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5.5" thickBot="1" x14ac:dyDescent="0.6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5.5" thickBot="1" x14ac:dyDescent="0.6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5.5" thickBot="1" x14ac:dyDescent="0.6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5.5" thickBot="1" x14ac:dyDescent="0.6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5.5" thickBot="1" x14ac:dyDescent="0.6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5.5" thickBot="1" x14ac:dyDescent="0.6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5.5" thickBot="1" x14ac:dyDescent="0.6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5.5" thickBot="1" x14ac:dyDescent="0.6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5.5" thickBot="1" x14ac:dyDescent="0.6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5.5" thickBot="1" x14ac:dyDescent="0.6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5.5" thickBot="1" x14ac:dyDescent="0.6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5.5" thickBot="1" x14ac:dyDescent="0.6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5.5" thickBot="1" x14ac:dyDescent="0.6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5.5" thickBot="1" x14ac:dyDescent="0.6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5.5" thickBot="1" x14ac:dyDescent="0.6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5.5" thickBot="1" x14ac:dyDescent="0.6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5.5" thickBot="1" x14ac:dyDescent="0.6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5.5" thickBot="1" x14ac:dyDescent="0.6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5.5" thickBot="1" x14ac:dyDescent="0.6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5.5" thickBot="1" x14ac:dyDescent="0.6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5.5" thickBot="1" x14ac:dyDescent="0.6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5.5" thickBot="1" x14ac:dyDescent="0.6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5.5" thickBot="1" x14ac:dyDescent="0.6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5.5" thickBot="1" x14ac:dyDescent="0.6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5.5" thickBot="1" x14ac:dyDescent="0.6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5.5" thickBot="1" x14ac:dyDescent="0.6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5.5" thickBot="1" x14ac:dyDescent="0.6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5.5" thickBot="1" x14ac:dyDescent="0.6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5.5" thickBot="1" x14ac:dyDescent="0.6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5.5" thickBot="1" x14ac:dyDescent="0.6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5.5" thickBot="1" x14ac:dyDescent="0.6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5.5" thickBot="1" x14ac:dyDescent="0.6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5.5" thickBot="1" x14ac:dyDescent="0.6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5.5" thickBot="1" x14ac:dyDescent="0.6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5.5" thickBot="1" x14ac:dyDescent="0.6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5.5" thickBot="1" x14ac:dyDescent="0.6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5.5" thickBot="1" x14ac:dyDescent="0.6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5.5" thickBot="1" x14ac:dyDescent="0.6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5.5" thickBot="1" x14ac:dyDescent="0.6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5.5" thickBot="1" x14ac:dyDescent="0.6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5.5" thickBot="1" x14ac:dyDescent="0.6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5.5" thickBot="1" x14ac:dyDescent="0.6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5.5" thickBot="1" x14ac:dyDescent="0.6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5.5" thickBot="1" x14ac:dyDescent="0.6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5.5" thickBot="1" x14ac:dyDescent="0.6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5.5" thickBot="1" x14ac:dyDescent="0.6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5.5" thickBot="1" x14ac:dyDescent="0.6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5.5" thickBot="1" x14ac:dyDescent="0.6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5.5" thickBot="1" x14ac:dyDescent="0.6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5.5" thickBot="1" x14ac:dyDescent="0.6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5.5" thickBot="1" x14ac:dyDescent="0.6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5.5" thickBot="1" x14ac:dyDescent="0.6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5.5" thickBot="1" x14ac:dyDescent="0.6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5.5" thickBot="1" x14ac:dyDescent="0.6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5.5" thickBot="1" x14ac:dyDescent="0.6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5.5" thickBot="1" x14ac:dyDescent="0.6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5.5" thickBot="1" x14ac:dyDescent="0.6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5.5" thickBot="1" x14ac:dyDescent="0.6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5.5" thickBot="1" x14ac:dyDescent="0.6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5.5" thickBot="1" x14ac:dyDescent="0.6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5.5" thickBot="1" x14ac:dyDescent="0.6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5.5" thickBot="1" x14ac:dyDescent="0.6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5.5" thickBot="1" x14ac:dyDescent="0.6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5.5" thickBot="1" x14ac:dyDescent="0.6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5.5" thickBot="1" x14ac:dyDescent="0.6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5.5" thickBot="1" x14ac:dyDescent="0.6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5.5" thickBot="1" x14ac:dyDescent="0.6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5.5" thickBot="1" x14ac:dyDescent="0.6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5.5" thickBot="1" x14ac:dyDescent="0.6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5.5" thickBot="1" x14ac:dyDescent="0.6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5.5" thickBot="1" x14ac:dyDescent="0.6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5.5" thickBot="1" x14ac:dyDescent="0.6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5.5" thickBot="1" x14ac:dyDescent="0.6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5.5" thickBot="1" x14ac:dyDescent="0.6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5.5" thickBot="1" x14ac:dyDescent="0.6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5.5" thickBot="1" x14ac:dyDescent="0.6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5.5" thickBot="1" x14ac:dyDescent="0.6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5.5" thickBot="1" x14ac:dyDescent="0.6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5.5" thickBot="1" x14ac:dyDescent="0.6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5.5" thickBot="1" x14ac:dyDescent="0.6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5.5" thickBot="1" x14ac:dyDescent="0.6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5.5" thickBot="1" x14ac:dyDescent="0.6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5.5" thickBot="1" x14ac:dyDescent="0.6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5.5" thickBot="1" x14ac:dyDescent="0.6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5.5" thickBot="1" x14ac:dyDescent="0.6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5.5" thickBot="1" x14ac:dyDescent="0.6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5.5" thickBot="1" x14ac:dyDescent="0.6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5.5" thickBot="1" x14ac:dyDescent="0.6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5.5" thickBot="1" x14ac:dyDescent="0.6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5.5" thickBot="1" x14ac:dyDescent="0.6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5.5" thickBot="1" x14ac:dyDescent="0.6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5.5" thickBot="1" x14ac:dyDescent="0.6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5.5" thickBot="1" x14ac:dyDescent="0.6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5.5" thickBot="1" x14ac:dyDescent="0.6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5.5" thickBot="1" x14ac:dyDescent="0.6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5.5" thickBot="1" x14ac:dyDescent="0.6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5.5" thickBot="1" x14ac:dyDescent="0.6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55000000000000004">
      <c r="E515" s="22"/>
      <c r="F515" s="22"/>
      <c r="G515" s="22"/>
      <c r="H515" s="22"/>
    </row>
    <row r="516" spans="3:12" x14ac:dyDescent="0.55000000000000004">
      <c r="E516" s="22"/>
      <c r="F516" s="22"/>
      <c r="G516" s="22"/>
      <c r="H516" s="22"/>
    </row>
    <row r="517" spans="3:12" x14ac:dyDescent="0.55000000000000004">
      <c r="E517" s="22"/>
      <c r="F517" s="22"/>
      <c r="G517" s="22"/>
      <c r="H517" s="22"/>
    </row>
    <row r="518" spans="3:12" x14ac:dyDescent="0.55000000000000004">
      <c r="E518" s="22"/>
      <c r="F518" s="22"/>
      <c r="G518" s="22"/>
      <c r="H518" s="22"/>
    </row>
    <row r="519" spans="3:12" x14ac:dyDescent="0.55000000000000004">
      <c r="E519" s="22"/>
      <c r="F519" s="22"/>
      <c r="G519" s="22"/>
      <c r="H519" s="22"/>
    </row>
    <row r="520" spans="3:12" x14ac:dyDescent="0.55000000000000004">
      <c r="E520" s="22"/>
      <c r="F520" s="22"/>
      <c r="G520" s="22"/>
      <c r="H520" s="22"/>
    </row>
    <row r="521" spans="3:12" x14ac:dyDescent="0.55000000000000004">
      <c r="E521" s="22"/>
      <c r="F521" s="22"/>
      <c r="G521" s="22"/>
      <c r="H521" s="22"/>
    </row>
    <row r="522" spans="3:12" x14ac:dyDescent="0.55000000000000004">
      <c r="E522" s="22"/>
      <c r="F522" s="22"/>
      <c r="G522" s="22"/>
      <c r="H522" s="22"/>
    </row>
    <row r="523" spans="3:12" x14ac:dyDescent="0.55000000000000004">
      <c r="E523" s="22"/>
      <c r="F523" s="22"/>
      <c r="G523" s="22"/>
      <c r="H523" s="22"/>
    </row>
    <row r="524" spans="3:12" x14ac:dyDescent="0.55000000000000004">
      <c r="E524" s="22"/>
      <c r="F524" s="22"/>
      <c r="G524" s="22"/>
      <c r="H524" s="22"/>
    </row>
    <row r="525" spans="3:12" x14ac:dyDescent="0.55000000000000004">
      <c r="E525" s="22"/>
      <c r="F525" s="22"/>
      <c r="G525" s="22"/>
      <c r="H525" s="22"/>
    </row>
    <row r="526" spans="3:12" x14ac:dyDescent="0.55000000000000004">
      <c r="E526" s="22"/>
      <c r="F526" s="22"/>
      <c r="G526" s="22"/>
      <c r="H526" s="22"/>
    </row>
    <row r="527" spans="3:12" x14ac:dyDescent="0.55000000000000004">
      <c r="E527" s="22"/>
      <c r="F527" s="22"/>
      <c r="G527" s="22"/>
      <c r="H527" s="22"/>
    </row>
    <row r="528" spans="3:12" x14ac:dyDescent="0.55000000000000004">
      <c r="E528" s="22"/>
      <c r="F528" s="22"/>
      <c r="G528" s="22"/>
      <c r="H528" s="22"/>
    </row>
    <row r="529" spans="5:8" x14ac:dyDescent="0.55000000000000004">
      <c r="E529" s="22"/>
      <c r="F529" s="22"/>
      <c r="G529" s="22"/>
      <c r="H529" s="22"/>
    </row>
    <row r="530" spans="5:8" x14ac:dyDescent="0.55000000000000004">
      <c r="E530" s="22"/>
      <c r="F530" s="22"/>
      <c r="G530" s="22"/>
      <c r="H530" s="22"/>
    </row>
    <row r="531" spans="5:8" x14ac:dyDescent="0.5500000000000000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RowHeight="15" x14ac:dyDescent="0.55000000000000004"/>
  <cols>
    <col min="1" max="2" width="8.6640625" style="1"/>
    <col min="3" max="3" width="10.9140625" style="1" customWidth="1"/>
    <col min="4" max="16384" width="8.6640625" style="1"/>
  </cols>
  <sheetData>
    <row r="1" spans="2:6" ht="30" x14ac:dyDescent="0.5500000000000000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5500000000000000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5500000000000000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55000000000000004">
      <c r="B4" s="1" t="s">
        <v>148</v>
      </c>
      <c r="C4" s="1" t="s">
        <v>174</v>
      </c>
      <c r="F4" s="1" t="s">
        <v>150</v>
      </c>
    </row>
    <row r="5" spans="2:6" x14ac:dyDescent="0.55000000000000004">
      <c r="C5" s="1" t="s">
        <v>130</v>
      </c>
      <c r="F5" s="1" t="s">
        <v>164</v>
      </c>
    </row>
    <row r="6" spans="2:6" x14ac:dyDescent="0.5500000000000000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3" sqref="G13"/>
    </sheetView>
  </sheetViews>
  <sheetFormatPr defaultRowHeight="15" x14ac:dyDescent="0.55000000000000004"/>
  <cols>
    <col min="1" max="1" width="8.6640625" style="1"/>
    <col min="2" max="2" width="26" style="1" bestFit="1" customWidth="1"/>
    <col min="3" max="3" width="7.58203125" style="1" bestFit="1" customWidth="1"/>
    <col min="4" max="6" width="8.6640625" style="1"/>
    <col min="7" max="13" width="10.58203125" style="1" customWidth="1"/>
    <col min="14" max="14" width="5" style="37" bestFit="1" customWidth="1"/>
    <col min="15" max="15" width="9.08203125" style="37" bestFit="1" customWidth="1"/>
    <col min="16" max="18" width="5" style="37" bestFit="1" customWidth="1"/>
    <col min="19" max="19" width="6.33203125" style="37" bestFit="1" customWidth="1"/>
    <col min="20" max="20" width="6.75" style="37" bestFit="1" customWidth="1"/>
    <col min="21" max="21" width="5.58203125" style="37" bestFit="1" customWidth="1"/>
    <col min="22" max="22" width="5" style="37" bestFit="1" customWidth="1"/>
    <col min="23" max="23" width="7.83203125" style="37" bestFit="1" customWidth="1"/>
    <col min="24" max="24" width="5.58203125" style="37" bestFit="1" customWidth="1"/>
    <col min="25" max="25" width="6.33203125" style="37" bestFit="1" customWidth="1"/>
    <col min="26" max="26" width="6.75" style="37" bestFit="1" customWidth="1"/>
    <col min="27" max="27" width="6.33203125" style="37" bestFit="1" customWidth="1"/>
    <col min="28" max="28" width="9" style="37" bestFit="1" customWidth="1"/>
    <col min="29" max="30" width="8" style="37" bestFit="1" customWidth="1"/>
    <col min="31" max="31" width="4.58203125" style="19" bestFit="1" customWidth="1"/>
    <col min="32" max="16384" width="8.6640625" style="1"/>
  </cols>
  <sheetData>
    <row r="1" spans="1:31" ht="31.9" customHeight="1" x14ac:dyDescent="0.5500000000000000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5500000000000000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5500000000000000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5500000000000000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5500000000000000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5500000000000000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5500000000000000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5500000000000000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5500000000000000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5500000000000000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5500000000000000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5500000000000000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5500000000000000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55000000000000004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9"/>
      <c r="O14" s="19"/>
      <c r="P14" s="19"/>
    </row>
    <row r="15" spans="1:31" x14ac:dyDescent="0.55000000000000004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9"/>
      <c r="O15" s="19"/>
      <c r="P15" s="19"/>
    </row>
    <row r="16" spans="1:31" x14ac:dyDescent="0.55000000000000004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9"/>
      <c r="O16" s="19"/>
      <c r="P16" s="19"/>
    </row>
    <row r="17" spans="4:16" x14ac:dyDescent="0.5500000000000000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5500000000000000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5500000000000000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5500000000000000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5500000000000000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3" priority="17" operator="lessThan">
      <formula>6</formula>
    </cfRule>
    <cfRule type="cellIs" dxfId="12" priority="18" operator="greaterThan">
      <formula>5</formula>
    </cfRule>
  </conditionalFormatting>
  <conditionalFormatting sqref="D6:F6 D8:F8">
    <cfRule type="cellIs" dxfId="11" priority="13" operator="lessThan">
      <formula>6</formula>
    </cfRule>
    <cfRule type="cellIs" dxfId="10" priority="14" operator="greaterThan">
      <formula>5</formula>
    </cfRule>
  </conditionalFormatting>
  <conditionalFormatting sqref="D7:F7 D9:F9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1:F11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0:F10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2:F12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3:F13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2021-12-31T07:39:55Z</dcterms:modified>
</cp:coreProperties>
</file>
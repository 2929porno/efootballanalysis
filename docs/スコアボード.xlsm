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\"/>
    </mc:Choice>
  </mc:AlternateContent>
  <xr:revisionPtr revIDLastSave="0" documentId="13_ncr:1_{54E53EAA-B5FD-4E59-B52E-31041F15DBB3}" xr6:coauthVersionLast="47" xr6:coauthVersionMax="47" xr10:uidLastSave="{00000000-0000-0000-0000-000000000000}"/>
  <bookViews>
    <workbookView xWindow="-120" yWindow="480" windowWidth="38640" windowHeight="21240" xr2:uid="{28524371-8977-49C9-BDB9-C6C1CB6494A7}"/>
  </bookViews>
  <sheets>
    <sheet name="スコア" sheetId="1" r:id="rId1"/>
    <sheet name="監督フォーメーション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O458" i="1"/>
  <c r="N458" i="1" s="1"/>
  <c r="O457" i="1"/>
  <c r="N457" i="1" s="1"/>
  <c r="O456" i="1"/>
  <c r="O455" i="1"/>
  <c r="O454" i="1"/>
  <c r="O453" i="1"/>
  <c r="O452" i="1"/>
  <c r="N452" i="1" s="1"/>
  <c r="O451" i="1"/>
  <c r="O450" i="1"/>
  <c r="N450" i="1" s="1"/>
  <c r="O449" i="1"/>
  <c r="N449" i="1" s="1"/>
  <c r="O448" i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O436" i="1"/>
  <c r="N436" i="1" s="1"/>
  <c r="O435" i="1"/>
  <c r="O434" i="1"/>
  <c r="N434" i="1" s="1"/>
  <c r="O433" i="1"/>
  <c r="O432" i="1"/>
  <c r="O431" i="1"/>
  <c r="O430" i="1"/>
  <c r="O429" i="1"/>
  <c r="O428" i="1"/>
  <c r="N428" i="1" s="1"/>
  <c r="O427" i="1"/>
  <c r="O426" i="1"/>
  <c r="N426" i="1" s="1"/>
  <c r="O425" i="1"/>
  <c r="N425" i="1" s="1"/>
  <c r="O424" i="1"/>
  <c r="O423" i="1"/>
  <c r="O422" i="1"/>
  <c r="O421" i="1"/>
  <c r="O420" i="1"/>
  <c r="N420" i="1" s="1"/>
  <c r="O419" i="1"/>
  <c r="O418" i="1"/>
  <c r="N418" i="1" s="1"/>
  <c r="O417" i="1"/>
  <c r="N417" i="1" s="1"/>
  <c r="O416" i="1"/>
  <c r="O415" i="1"/>
  <c r="O414" i="1"/>
  <c r="O413" i="1"/>
  <c r="O412" i="1"/>
  <c r="N412" i="1" s="1"/>
  <c r="O411" i="1"/>
  <c r="O410" i="1"/>
  <c r="N410" i="1" s="1"/>
  <c r="O409" i="1"/>
  <c r="N409" i="1" s="1"/>
  <c r="O408" i="1"/>
  <c r="O407" i="1"/>
  <c r="O406" i="1"/>
  <c r="O405" i="1"/>
  <c r="O404" i="1"/>
  <c r="N404" i="1" s="1"/>
  <c r="O403" i="1"/>
  <c r="O402" i="1"/>
  <c r="N402" i="1" s="1"/>
  <c r="O401" i="1"/>
  <c r="N401" i="1" s="1"/>
  <c r="O400" i="1"/>
  <c r="O399" i="1"/>
  <c r="O398" i="1"/>
  <c r="O397" i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O378" i="1"/>
  <c r="N378" i="1" s="1"/>
  <c r="O377" i="1"/>
  <c r="N377" i="1" s="1"/>
  <c r="O376" i="1"/>
  <c r="O375" i="1"/>
  <c r="O374" i="1"/>
  <c r="O373" i="1"/>
  <c r="O372" i="1"/>
  <c r="N372" i="1" s="1"/>
  <c r="O371" i="1"/>
  <c r="O370" i="1"/>
  <c r="N370" i="1" s="1"/>
  <c r="O369" i="1"/>
  <c r="N369" i="1" s="1"/>
  <c r="O368" i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O351" i="1"/>
  <c r="O350" i="1"/>
  <c r="O349" i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O338" i="1"/>
  <c r="N338" i="1" s="1"/>
  <c r="O337" i="1"/>
  <c r="N337" i="1" s="1"/>
  <c r="O336" i="1"/>
  <c r="O335" i="1"/>
  <c r="O334" i="1"/>
  <c r="O333" i="1"/>
  <c r="O332" i="1"/>
  <c r="N332" i="1" s="1"/>
  <c r="O331" i="1"/>
  <c r="O330" i="1"/>
  <c r="N330" i="1" s="1"/>
  <c r="O329" i="1"/>
  <c r="N329" i="1" s="1"/>
  <c r="O328" i="1"/>
  <c r="O327" i="1"/>
  <c r="O326" i="1"/>
  <c r="O325" i="1"/>
  <c r="O324" i="1"/>
  <c r="N324" i="1" s="1"/>
  <c r="O323" i="1"/>
  <c r="O322" i="1"/>
  <c r="N322" i="1" s="1"/>
  <c r="O321" i="1"/>
  <c r="N321" i="1" s="1"/>
  <c r="O320" i="1"/>
  <c r="O319" i="1"/>
  <c r="O318" i="1"/>
  <c r="O317" i="1"/>
  <c r="O316" i="1"/>
  <c r="N316" i="1" s="1"/>
  <c r="O315" i="1"/>
  <c r="O314" i="1"/>
  <c r="N314" i="1" s="1"/>
  <c r="O313" i="1"/>
  <c r="N313" i="1" s="1"/>
  <c r="O312" i="1"/>
  <c r="O311" i="1"/>
  <c r="O310" i="1"/>
  <c r="O309" i="1"/>
  <c r="O308" i="1"/>
  <c r="N308" i="1" s="1"/>
  <c r="O307" i="1"/>
  <c r="O306" i="1"/>
  <c r="N306" i="1" s="1"/>
  <c r="O305" i="1"/>
  <c r="N305" i="1" s="1"/>
  <c r="O304" i="1"/>
  <c r="O303" i="1"/>
  <c r="O302" i="1"/>
  <c r="O301" i="1"/>
  <c r="O300" i="1"/>
  <c r="N300" i="1" s="1"/>
  <c r="O299" i="1"/>
  <c r="O298" i="1"/>
  <c r="N298" i="1" s="1"/>
  <c r="O297" i="1"/>
  <c r="N297" i="1" s="1"/>
  <c r="O296" i="1"/>
  <c r="O295" i="1"/>
  <c r="O294" i="1"/>
  <c r="O293" i="1"/>
  <c r="O292" i="1"/>
  <c r="N292" i="1" s="1"/>
  <c r="O291" i="1"/>
  <c r="O290" i="1"/>
  <c r="N290" i="1" s="1"/>
  <c r="O289" i="1"/>
  <c r="O288" i="1"/>
  <c r="O287" i="1"/>
  <c r="O286" i="1"/>
  <c r="O285" i="1"/>
  <c r="O284" i="1"/>
  <c r="N284" i="1" s="1"/>
  <c r="O283" i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O103" i="1"/>
  <c r="O102" i="1"/>
  <c r="O101" i="1"/>
  <c r="O100" i="1"/>
  <c r="N100" i="1" s="1"/>
  <c r="O99" i="1"/>
  <c r="N99" i="1" s="1"/>
  <c r="O98" i="1"/>
  <c r="O97" i="1"/>
  <c r="N97" i="1" s="1"/>
  <c r="O96" i="1"/>
  <c r="O95" i="1"/>
  <c r="O94" i="1"/>
  <c r="O93" i="1"/>
  <c r="O92" i="1"/>
  <c r="N92" i="1" s="1"/>
  <c r="O91" i="1"/>
  <c r="O90" i="1"/>
  <c r="N90" i="1" s="1"/>
  <c r="O89" i="1"/>
  <c r="N89" i="1" s="1"/>
  <c r="O88" i="1"/>
  <c r="N88" i="1" s="1"/>
  <c r="O87" i="1"/>
  <c r="O86" i="1"/>
  <c r="O85" i="1"/>
  <c r="O84" i="1"/>
  <c r="N84" i="1" s="1"/>
  <c r="O83" i="1"/>
  <c r="N83" i="1" s="1"/>
  <c r="O82" i="1"/>
  <c r="N82" i="1" s="1"/>
  <c r="O81" i="1"/>
  <c r="N81" i="1" s="1"/>
  <c r="O80" i="1"/>
  <c r="O79" i="1"/>
  <c r="O78" i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O61" i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O39" i="1"/>
  <c r="O38" i="1"/>
  <c r="O37" i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9" i="1"/>
  <c r="N451" i="1"/>
  <c r="N435" i="1"/>
  <c r="N427" i="1"/>
  <c r="N411" i="1"/>
  <c r="N403" i="1"/>
  <c r="N395" i="1"/>
  <c r="N387" i="1"/>
  <c r="N379" i="1"/>
  <c r="N363" i="1"/>
  <c r="N355" i="1"/>
  <c r="N339" i="1"/>
  <c r="N331" i="1"/>
  <c r="N323" i="1"/>
  <c r="N315" i="1"/>
  <c r="N307" i="1"/>
  <c r="N291" i="1"/>
  <c r="N283" i="1"/>
  <c r="N91" i="1"/>
  <c r="N433" i="1"/>
  <c r="N353" i="1"/>
  <c r="N289" i="1"/>
  <c r="N419" i="1"/>
  <c r="N347" i="1"/>
  <c r="N78" i="1"/>
  <c r="N288" i="1"/>
  <c r="N296" i="1"/>
  <c r="N304" i="1"/>
  <c r="N320" i="1"/>
  <c r="N328" i="1"/>
  <c r="N336" i="1"/>
  <c r="N344" i="1"/>
  <c r="N352" i="1"/>
  <c r="N360" i="1"/>
  <c r="N368" i="1"/>
  <c r="N384" i="1"/>
  <c r="N392" i="1"/>
  <c r="N400" i="1"/>
  <c r="N416" i="1"/>
  <c r="N424" i="1"/>
  <c r="N432" i="1"/>
  <c r="N440" i="1"/>
  <c r="N448" i="1"/>
  <c r="N456" i="1"/>
  <c r="N312" i="1"/>
  <c r="N408" i="1"/>
  <c r="N101" i="1"/>
  <c r="N293" i="1"/>
  <c r="N301" i="1"/>
  <c r="N325" i="1"/>
  <c r="N333" i="1"/>
  <c r="N365" i="1"/>
  <c r="N238" i="1"/>
  <c r="N302" i="1"/>
  <c r="N56" i="1"/>
  <c r="P56" i="1" s="1"/>
  <c r="N40" i="1"/>
  <c r="P40" i="1" s="1"/>
  <c r="N46" i="1"/>
  <c r="P46" i="1" s="1"/>
  <c r="N53" i="1"/>
  <c r="N54" i="1"/>
  <c r="P54" i="1" s="1"/>
  <c r="N61" i="1"/>
  <c r="P61" i="1" s="1"/>
  <c r="N62" i="1"/>
  <c r="P62" i="1" s="1"/>
  <c r="N63" i="1"/>
  <c r="P63" i="1" s="1"/>
  <c r="N69" i="1"/>
  <c r="N70" i="1"/>
  <c r="P70" i="1" s="1"/>
  <c r="N71" i="1"/>
  <c r="P71" i="1" s="1"/>
  <c r="N77" i="1"/>
  <c r="N79" i="1"/>
  <c r="N80" i="1"/>
  <c r="N85" i="1"/>
  <c r="N93" i="1"/>
  <c r="N96" i="1"/>
  <c r="N104" i="1"/>
  <c r="N184" i="1"/>
  <c r="N285" i="1"/>
  <c r="N299" i="1"/>
  <c r="N309" i="1"/>
  <c r="N317" i="1"/>
  <c r="N341" i="1"/>
  <c r="N349" i="1"/>
  <c r="N357" i="1"/>
  <c r="N373" i="1"/>
  <c r="N376" i="1"/>
  <c r="N381" i="1"/>
  <c r="N389" i="1"/>
  <c r="N397" i="1"/>
  <c r="N405" i="1"/>
  <c r="N413" i="1"/>
  <c r="N421" i="1"/>
  <c r="N429" i="1"/>
  <c r="N437" i="1"/>
  <c r="N443" i="1"/>
  <c r="N445" i="1"/>
  <c r="N453" i="1"/>
  <c r="N461" i="1"/>
  <c r="N31" i="1"/>
  <c r="P31" i="1" s="1"/>
  <c r="N37" i="1"/>
  <c r="P37" i="1" s="1"/>
  <c r="N38" i="1"/>
  <c r="P38" i="1" s="1"/>
  <c r="N39" i="1"/>
  <c r="P39" i="1" s="1"/>
  <c r="N45" i="1"/>
  <c r="P45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423" i="1"/>
  <c r="P359" i="1"/>
  <c r="P431" i="1"/>
  <c r="P439" i="1"/>
  <c r="P429" i="1"/>
  <c r="P365" i="1"/>
  <c r="P311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<sst xmlns="http://schemas.openxmlformats.org/spreadsheetml/2006/main" count="2136" uniqueCount="121">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</sst>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u/>
      <sz val="10"/>
      <color theme="1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6"/>
      <color rgb="FF1E1E1E"/>
      <name val="Segoe UI"/>
      <family val="2"/>
    </font>
    <font>
      <sz val="6"/>
      <color theme="1"/>
      <name val="游ゴシック"/>
      <family val="3"/>
      <charset val="128"/>
      <scheme val="minor"/>
    </font>
    <font>
      <b/>
      <sz val="6"/>
      <color theme="1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8"/>
      <color rgb="FF4D515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2">
      <alignment vertical="center"/>
    </xf>
    <xf numFmtId="0" fontId="6" fillId="0" borderId="0" xfId="0" applyFon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22" fontId="0" fillId="0" borderId="0" xfId="0" applyNumberFormat="1">
      <alignment vertical="center"/>
    </xf>
    <xf numFmtId="22" fontId="11" fillId="0" borderId="0" xfId="0" applyNumberFormat="1" applyFont="1">
      <alignment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38" fontId="11" fillId="0" borderId="0" xfId="3" applyFont="1">
      <alignment vertical="center"/>
    </xf>
    <xf numFmtId="0" fontId="15" fillId="0" borderId="0" xfId="0" applyFont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86283</xdr:colOff>
      <xdr:row>0</xdr:row>
      <xdr:rowOff>4482</xdr:rowOff>
    </xdr:from>
    <xdr:to>
      <xdr:col>39</xdr:col>
      <xdr:colOff>14846</xdr:colOff>
      <xdr:row>0</xdr:row>
      <xdr:rowOff>619455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88901" y="4482"/>
          <a:ext cx="612121" cy="6149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104776</xdr:colOff>
      <xdr:row>0</xdr:row>
      <xdr:rowOff>42864</xdr:rowOff>
    </xdr:from>
    <xdr:to>
      <xdr:col>16</xdr:col>
      <xdr:colOff>276227</xdr:colOff>
      <xdr:row>0</xdr:row>
      <xdr:rowOff>648818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6" y="42864"/>
          <a:ext cx="609600" cy="601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357187</xdr:colOff>
      <xdr:row>0</xdr:row>
      <xdr:rowOff>52389</xdr:rowOff>
    </xdr:from>
    <xdr:to>
      <xdr:col>17</xdr:col>
      <xdr:colOff>276222</xdr:colOff>
      <xdr:row>0</xdr:row>
      <xdr:rowOff>657225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6487" y="52389"/>
          <a:ext cx="600074" cy="600074"/>
        </a:xfrm>
        <a:prstGeom prst="rect">
          <a:avLst/>
        </a:prstGeom>
      </xdr:spPr>
    </xdr:pic>
    <xdr:clientData/>
  </xdr:twoCellAnchor>
  <xdr:twoCellAnchor editAs="oneCell">
    <xdr:from>
      <xdr:col>17</xdr:col>
      <xdr:colOff>323850</xdr:colOff>
      <xdr:row>0</xdr:row>
      <xdr:rowOff>42864</xdr:rowOff>
    </xdr:from>
    <xdr:to>
      <xdr:col>18</xdr:col>
      <xdr:colOff>512850</xdr:colOff>
      <xdr:row>0</xdr:row>
      <xdr:rowOff>657225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42864"/>
          <a:ext cx="622388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66675</xdr:colOff>
      <xdr:row>0</xdr:row>
      <xdr:rowOff>4763</xdr:rowOff>
    </xdr:from>
    <xdr:to>
      <xdr:col>22</xdr:col>
      <xdr:colOff>266700</xdr:colOff>
      <xdr:row>0</xdr:row>
      <xdr:rowOff>647700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9675" y="4763"/>
          <a:ext cx="6381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581025</xdr:colOff>
      <xdr:row>0</xdr:row>
      <xdr:rowOff>42863</xdr:rowOff>
    </xdr:from>
    <xdr:to>
      <xdr:col>20</xdr:col>
      <xdr:colOff>66022</xdr:colOff>
      <xdr:row>0</xdr:row>
      <xdr:rowOff>647700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4275" y="42863"/>
          <a:ext cx="60418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55748</xdr:colOff>
      <xdr:row>0</xdr:row>
      <xdr:rowOff>0</xdr:rowOff>
    </xdr:from>
    <xdr:to>
      <xdr:col>38</xdr:col>
      <xdr:colOff>8122</xdr:colOff>
      <xdr:row>0</xdr:row>
      <xdr:rowOff>639183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73101" y="0"/>
          <a:ext cx="635933" cy="6391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102253</xdr:colOff>
      <xdr:row>0</xdr:row>
      <xdr:rowOff>43704</xdr:rowOff>
    </xdr:from>
    <xdr:to>
      <xdr:col>37</xdr:col>
      <xdr:colOff>30286</xdr:colOff>
      <xdr:row>0</xdr:row>
      <xdr:rowOff>658066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2429" y="43704"/>
          <a:ext cx="611592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38381</xdr:rowOff>
    </xdr:from>
    <xdr:to>
      <xdr:col>10</xdr:col>
      <xdr:colOff>562</xdr:colOff>
      <xdr:row>1</xdr:row>
      <xdr:rowOff>10366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2617" y="38381"/>
          <a:ext cx="662269" cy="661988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155203</xdr:rowOff>
    </xdr:from>
    <xdr:to>
      <xdr:col>11</xdr:col>
      <xdr:colOff>169210</xdr:colOff>
      <xdr:row>0</xdr:row>
      <xdr:rowOff>655265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61255" y="155203"/>
          <a:ext cx="493340" cy="495300"/>
        </a:xfrm>
        <a:prstGeom prst="rect">
          <a:avLst/>
        </a:prstGeom>
      </xdr:spPr>
    </xdr:pic>
    <xdr:clientData/>
  </xdr:twoCellAnchor>
  <xdr:twoCellAnchor editAs="oneCell">
    <xdr:from>
      <xdr:col>22</xdr:col>
      <xdr:colOff>338139</xdr:colOff>
      <xdr:row>0</xdr:row>
      <xdr:rowOff>28575</xdr:rowOff>
    </xdr:from>
    <xdr:to>
      <xdr:col>23</xdr:col>
      <xdr:colOff>275763</xdr:colOff>
      <xdr:row>0</xdr:row>
      <xdr:rowOff>647700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9289" y="28575"/>
          <a:ext cx="623424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80683</xdr:colOff>
      <xdr:row>0</xdr:row>
      <xdr:rowOff>71941</xdr:rowOff>
    </xdr:from>
    <xdr:to>
      <xdr:col>21</xdr:col>
      <xdr:colOff>33591</xdr:colOff>
      <xdr:row>1</xdr:row>
      <xdr:rowOff>19890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373036" y="71941"/>
          <a:ext cx="636467" cy="642714"/>
        </a:xfrm>
        <a:prstGeom prst="rect">
          <a:avLst/>
        </a:prstGeom>
      </xdr:spPr>
    </xdr:pic>
    <xdr:clientData/>
  </xdr:twoCellAnchor>
  <xdr:twoCellAnchor editAs="oneCell">
    <xdr:from>
      <xdr:col>32</xdr:col>
      <xdr:colOff>238124</xdr:colOff>
      <xdr:row>0</xdr:row>
      <xdr:rowOff>37547</xdr:rowOff>
    </xdr:from>
    <xdr:to>
      <xdr:col>33</xdr:col>
      <xdr:colOff>171449</xdr:colOff>
      <xdr:row>0</xdr:row>
      <xdr:rowOff>647702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16112" y="37547"/>
          <a:ext cx="614363" cy="610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0</xdr:rowOff>
    </xdr:from>
    <xdr:to>
      <xdr:col>2</xdr:col>
      <xdr:colOff>332534</xdr:colOff>
      <xdr:row>1</xdr:row>
      <xdr:rowOff>9524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0076" y="0"/>
          <a:ext cx="700087" cy="700087"/>
        </a:xfrm>
        <a:prstGeom prst="rect">
          <a:avLst/>
        </a:prstGeom>
      </xdr:spPr>
    </xdr:pic>
    <xdr:clientData/>
  </xdr:twoCellAnchor>
  <xdr:twoCellAnchor editAs="oneCell">
    <xdr:from>
      <xdr:col>24</xdr:col>
      <xdr:colOff>524435</xdr:colOff>
      <xdr:row>0</xdr:row>
      <xdr:rowOff>14849</xdr:rowOff>
    </xdr:from>
    <xdr:to>
      <xdr:col>26</xdr:col>
      <xdr:colOff>66770</xdr:colOff>
      <xdr:row>0</xdr:row>
      <xdr:rowOff>638736</xdr:rowOff>
    </xdr:to>
    <xdr:pic macro="[0]!中田">
      <xdr:nvPicPr>
        <xdr:cNvPr id="16" name="図 15" descr="IM中田英寿(1995/12/27)">
          <a:extLst>
            <a:ext uri="{FF2B5EF4-FFF2-40B4-BE49-F238E27FC236}">
              <a16:creationId xmlns:a16="http://schemas.microsoft.com/office/drawing/2014/main" id="{A05EF17C-B2D9-4C0A-8FEA-22B3B6AA6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0" y="14849"/>
          <a:ext cx="624545" cy="623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156881</xdr:colOff>
      <xdr:row>0</xdr:row>
      <xdr:rowOff>28014</xdr:rowOff>
    </xdr:from>
    <xdr:to>
      <xdr:col>36</xdr:col>
      <xdr:colOff>112059</xdr:colOff>
      <xdr:row>0</xdr:row>
      <xdr:rowOff>667001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499" y="28014"/>
          <a:ext cx="638736" cy="6389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272192</xdr:colOff>
      <xdr:row>0</xdr:row>
      <xdr:rowOff>33618</xdr:rowOff>
    </xdr:from>
    <xdr:to>
      <xdr:col>29</xdr:col>
      <xdr:colOff>26333</xdr:colOff>
      <xdr:row>0</xdr:row>
      <xdr:rowOff>687482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6457" y="33618"/>
          <a:ext cx="657055" cy="64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98501</xdr:colOff>
      <xdr:row>0</xdr:row>
      <xdr:rowOff>39220</xdr:rowOff>
    </xdr:from>
    <xdr:to>
      <xdr:col>27</xdr:col>
      <xdr:colOff>217740</xdr:colOff>
      <xdr:row>0</xdr:row>
      <xdr:rowOff>687584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517295" y="39220"/>
          <a:ext cx="652359" cy="648364"/>
        </a:xfrm>
        <a:prstGeom prst="rect">
          <a:avLst/>
        </a:prstGeom>
      </xdr:spPr>
    </xdr:pic>
    <xdr:clientData/>
  </xdr:twoCellAnchor>
  <xdr:twoCellAnchor editAs="oneCell">
    <xdr:from>
      <xdr:col>31</xdr:col>
      <xdr:colOff>128869</xdr:colOff>
      <xdr:row>0</xdr:row>
      <xdr:rowOff>11206</xdr:rowOff>
    </xdr:from>
    <xdr:to>
      <xdr:col>32</xdr:col>
      <xdr:colOff>312924</xdr:colOff>
      <xdr:row>0</xdr:row>
      <xdr:rowOff>628293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7781" y="11206"/>
          <a:ext cx="616322" cy="61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190500</xdr:colOff>
      <xdr:row>0</xdr:row>
      <xdr:rowOff>0</xdr:rowOff>
    </xdr:from>
    <xdr:to>
      <xdr:col>31</xdr:col>
      <xdr:colOff>169241</xdr:colOff>
      <xdr:row>0</xdr:row>
      <xdr:rowOff>638734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69471" y="0"/>
          <a:ext cx="623920" cy="638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173692</xdr:colOff>
      <xdr:row>0</xdr:row>
      <xdr:rowOff>0</xdr:rowOff>
    </xdr:from>
    <xdr:to>
      <xdr:col>34</xdr:col>
      <xdr:colOff>150439</xdr:colOff>
      <xdr:row>0</xdr:row>
      <xdr:rowOff>649103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23192" y="0"/>
          <a:ext cx="660306" cy="649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323289</xdr:colOff>
      <xdr:row>0</xdr:row>
      <xdr:rowOff>3559</xdr:rowOff>
    </xdr:from>
    <xdr:to>
      <xdr:col>24</xdr:col>
      <xdr:colOff>474567</xdr:colOff>
      <xdr:row>0</xdr:row>
      <xdr:rowOff>592790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8083" y="3559"/>
          <a:ext cx="588307" cy="589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672352</xdr:colOff>
      <xdr:row>0</xdr:row>
      <xdr:rowOff>19601</xdr:rowOff>
    </xdr:from>
    <xdr:to>
      <xdr:col>39</xdr:col>
      <xdr:colOff>637052</xdr:colOff>
      <xdr:row>0</xdr:row>
      <xdr:rowOff>659484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73264" y="19601"/>
          <a:ext cx="643496" cy="635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28017</xdr:colOff>
      <xdr:row>0</xdr:row>
      <xdr:rowOff>38379</xdr:rowOff>
    </xdr:from>
    <xdr:to>
      <xdr:col>30</xdr:col>
      <xdr:colOff>200866</xdr:colOff>
      <xdr:row>0</xdr:row>
      <xdr:rowOff>649207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03576" y="38379"/>
          <a:ext cx="609878" cy="61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356907</xdr:colOff>
      <xdr:row>0</xdr:row>
      <xdr:rowOff>11206</xdr:rowOff>
    </xdr:from>
    <xdr:to>
      <xdr:col>15</xdr:col>
      <xdr:colOff>65140</xdr:colOff>
      <xdr:row>0</xdr:row>
      <xdr:rowOff>677115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5642" y="11206"/>
          <a:ext cx="667177" cy="66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256" activePane="bottomRight" state="frozen"/>
      <selection pane="topRight" activeCell="B1" sqref="B1"/>
      <selection pane="bottomLeft" activeCell="A3" sqref="A3"/>
      <selection pane="bottomRight" activeCell="Q281" sqref="Q281"/>
    </sheetView>
  </sheetViews>
  <sheetFormatPr defaultRowHeight="18.75" x14ac:dyDescent="0.4"/>
  <cols>
    <col min="1" max="1" width="3.375" customWidth="1"/>
    <col min="2" max="2" width="9.375" style="16" bestFit="1" customWidth="1"/>
    <col min="3" max="3" width="6.25" style="15" bestFit="1" customWidth="1"/>
    <col min="4" max="4" width="10.5" style="20" hidden="1" customWidth="1"/>
    <col min="5" max="5" width="3.375" style="23" hidden="1" customWidth="1"/>
    <col min="6" max="6" width="5.125" style="1" bestFit="1" customWidth="1"/>
    <col min="7" max="7" width="6.25" style="1" customWidth="1"/>
    <col min="8" max="8" width="5.75" style="1" customWidth="1"/>
    <col min="9" max="9" width="7.25" style="1" customWidth="1"/>
    <col min="10" max="10" width="7.375" style="1" customWidth="1"/>
    <col min="11" max="11" width="5.625" style="1" customWidth="1"/>
    <col min="12" max="12" width="4.625" style="1" bestFit="1" customWidth="1"/>
    <col min="13" max="13" width="4.875" style="1" bestFit="1" customWidth="1"/>
    <col min="14" max="14" width="3.375" style="1" bestFit="1" customWidth="1"/>
    <col min="15" max="15" width="4.375" style="1" bestFit="1" customWidth="1"/>
    <col min="16" max="16" width="5.75" style="1" bestFit="1" customWidth="1"/>
    <col min="17" max="17" width="9" style="1"/>
    <col min="18" max="18" width="5.75" style="17" bestFit="1" customWidth="1"/>
    <col min="19" max="19" width="9" style="1"/>
    <col min="20" max="20" width="5.75" style="17" bestFit="1" customWidth="1"/>
    <col min="21" max="21" width="9" style="1"/>
    <col min="22" max="22" width="5.75" style="17" bestFit="1" customWidth="1"/>
    <col min="23" max="23" width="9" style="1"/>
    <col min="24" max="24" width="5.75" style="17" bestFit="1" customWidth="1"/>
    <col min="25" max="25" width="8.5" style="1" bestFit="1" customWidth="1"/>
    <col min="26" max="26" width="5.75" style="17" bestFit="1" customWidth="1"/>
    <col min="27" max="27" width="7" style="1" bestFit="1" customWidth="1"/>
    <col min="28" max="28" width="5.75" style="17" bestFit="1" customWidth="1"/>
    <col min="29" max="29" width="6.25" style="1" customWidth="1"/>
    <col min="30" max="30" width="5.75" style="17" bestFit="1" customWidth="1"/>
    <col min="31" max="31" width="8.5" style="1" bestFit="1" customWidth="1"/>
    <col min="32" max="32" width="5.75" style="17" bestFit="1" customWidth="1"/>
  </cols>
  <sheetData>
    <row r="1" spans="2:32" ht="54.75" customHeight="1" x14ac:dyDescent="0.4">
      <c r="AA1"/>
      <c r="AC1"/>
    </row>
    <row r="2" spans="2:32" x14ac:dyDescent="0.4">
      <c r="B2" s="16" t="s">
        <v>22</v>
      </c>
      <c r="C2" s="15" t="s">
        <v>15</v>
      </c>
      <c r="D2" s="22" t="s">
        <v>22</v>
      </c>
      <c r="E2" s="24" t="s">
        <v>14</v>
      </c>
      <c r="F2" s="11" t="s">
        <v>0</v>
      </c>
      <c r="G2" s="10" t="s">
        <v>1</v>
      </c>
      <c r="H2" s="10" t="s">
        <v>11</v>
      </c>
      <c r="I2" s="12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10" t="s">
        <v>21</v>
      </c>
      <c r="R2" s="4" t="s">
        <v>20</v>
      </c>
      <c r="S2" s="4" t="s">
        <v>21</v>
      </c>
      <c r="T2" s="4" t="s">
        <v>20</v>
      </c>
      <c r="U2" s="4" t="s">
        <v>21</v>
      </c>
      <c r="V2" s="4" t="s">
        <v>20</v>
      </c>
      <c r="W2" s="4" t="s">
        <v>21</v>
      </c>
      <c r="X2" s="4" t="s">
        <v>20</v>
      </c>
      <c r="Y2" s="4" t="s">
        <v>21</v>
      </c>
      <c r="Z2" s="4" t="s">
        <v>20</v>
      </c>
      <c r="AA2" s="4" t="s">
        <v>21</v>
      </c>
      <c r="AB2" s="4" t="s">
        <v>20</v>
      </c>
      <c r="AC2" s="4" t="s">
        <v>21</v>
      </c>
      <c r="AD2" s="4" t="s">
        <v>20</v>
      </c>
      <c r="AE2" s="10" t="s">
        <v>21</v>
      </c>
      <c r="AF2" s="18" t="s">
        <v>20</v>
      </c>
    </row>
    <row r="3" spans="2:32" x14ac:dyDescent="0.4">
      <c r="B3" s="16">
        <v>44330</v>
      </c>
      <c r="C3" s="15">
        <v>0.95833333333333304</v>
      </c>
      <c r="D3" s="21">
        <v>44330.958333333336</v>
      </c>
      <c r="E3" s="25">
        <v>1</v>
      </c>
      <c r="F3" s="1">
        <v>4</v>
      </c>
      <c r="G3" s="1">
        <f>VLOOKUP(F3,監督フォーメーション!$A$2:$C$10,3,FALSE)</f>
        <v>3142</v>
      </c>
      <c r="H3" s="1">
        <v>1212</v>
      </c>
      <c r="I3" s="1" t="s">
        <v>9</v>
      </c>
      <c r="J3" s="1">
        <v>4213</v>
      </c>
      <c r="K3" s="9">
        <v>0.5</v>
      </c>
      <c r="L3" s="1">
        <v>5</v>
      </c>
      <c r="M3" s="9">
        <v>0.85</v>
      </c>
      <c r="N3" s="1">
        <v>3</v>
      </c>
      <c r="O3" s="1">
        <v>3</v>
      </c>
      <c r="P3" s="1" t="str">
        <f t="shared" ref="P3:P66" si="0">IF(N3-O3&gt;0,"勝",IF(N3-O3&lt;0,"負","引"))</f>
        <v>引</v>
      </c>
      <c r="Q3" s="8" t="s">
        <v>42</v>
      </c>
      <c r="R3" s="17" t="str">
        <f>IF(Q3="失点","失点","")</f>
        <v/>
      </c>
      <c r="S3" s="8" t="s">
        <v>42</v>
      </c>
      <c r="U3" s="8" t="s">
        <v>51</v>
      </c>
      <c r="W3" s="8" t="s">
        <v>12</v>
      </c>
      <c r="Y3" s="8" t="s">
        <v>12</v>
      </c>
      <c r="AA3" s="8" t="s">
        <v>12</v>
      </c>
      <c r="AB3" s="17" t="s">
        <v>57</v>
      </c>
      <c r="AC3" s="8"/>
      <c r="AE3" s="8"/>
    </row>
    <row r="4" spans="2:32" x14ac:dyDescent="0.4">
      <c r="B4" s="16">
        <v>44331</v>
      </c>
      <c r="C4" s="15">
        <v>0.999999999999999</v>
      </c>
      <c r="D4" s="21">
        <v>44332</v>
      </c>
      <c r="E4" s="25">
        <v>2</v>
      </c>
      <c r="F4" s="1">
        <v>4</v>
      </c>
      <c r="G4" s="1">
        <f>VLOOKUP(F4,監督フォーメーション!$A$2:$C$10,3,FALSE)</f>
        <v>3142</v>
      </c>
      <c r="H4" s="1">
        <v>1212</v>
      </c>
      <c r="I4" s="1" t="s">
        <v>9</v>
      </c>
      <c r="J4" s="1">
        <v>4222</v>
      </c>
      <c r="K4" s="9">
        <v>0.48</v>
      </c>
      <c r="L4" s="1">
        <v>6</v>
      </c>
      <c r="M4" s="9">
        <v>0.84</v>
      </c>
      <c r="N4" s="1">
        <v>4</v>
      </c>
      <c r="O4" s="1">
        <v>0</v>
      </c>
      <c r="P4" s="1" t="str">
        <f t="shared" si="0"/>
        <v>勝</v>
      </c>
      <c r="Q4" s="8" t="s">
        <v>42</v>
      </c>
      <c r="S4" s="8" t="s">
        <v>42</v>
      </c>
      <c r="U4" s="8" t="s">
        <v>41</v>
      </c>
      <c r="W4" s="8" t="s">
        <v>42</v>
      </c>
      <c r="Y4" s="8"/>
      <c r="AA4" s="8"/>
      <c r="AC4" s="8"/>
      <c r="AE4" s="8"/>
    </row>
    <row r="5" spans="2:32" x14ac:dyDescent="0.4">
      <c r="B5" s="16">
        <v>44332</v>
      </c>
      <c r="C5" s="15">
        <v>4.1666666666665603E-2</v>
      </c>
      <c r="D5" s="21">
        <v>44332.041666666664</v>
      </c>
      <c r="E5" s="25">
        <v>3</v>
      </c>
      <c r="F5" s="1">
        <v>4</v>
      </c>
      <c r="G5" s="1">
        <f>VLOOKUP(F5,監督フォーメーション!$A$2:$C$10,3,FALSE)</f>
        <v>3142</v>
      </c>
      <c r="H5" s="1">
        <v>1212</v>
      </c>
      <c r="I5" s="1" t="s">
        <v>9</v>
      </c>
      <c r="J5" s="1">
        <v>4123</v>
      </c>
      <c r="K5" s="9">
        <v>0.53</v>
      </c>
      <c r="L5" s="1">
        <v>8</v>
      </c>
      <c r="M5" s="9">
        <v>0.9</v>
      </c>
      <c r="N5" s="1">
        <v>4</v>
      </c>
      <c r="O5" s="1">
        <v>0</v>
      </c>
      <c r="P5" s="1" t="str">
        <f t="shared" si="0"/>
        <v>勝</v>
      </c>
      <c r="Q5" s="8" t="s">
        <v>41</v>
      </c>
      <c r="S5" s="8" t="s">
        <v>44</v>
      </c>
      <c r="U5" s="8" t="s">
        <v>44</v>
      </c>
      <c r="W5" s="8" t="s">
        <v>44</v>
      </c>
      <c r="Y5" s="8"/>
      <c r="AA5" s="8"/>
      <c r="AC5" s="8"/>
      <c r="AE5" s="8"/>
    </row>
    <row r="6" spans="2:32" x14ac:dyDescent="0.4">
      <c r="B6" s="16">
        <v>44332</v>
      </c>
      <c r="C6" s="15">
        <v>8.3333333333332593E-2</v>
      </c>
      <c r="D6" s="21">
        <v>44332.083333333336</v>
      </c>
      <c r="E6" s="25">
        <v>4</v>
      </c>
      <c r="F6" s="1">
        <v>4</v>
      </c>
      <c r="G6" s="1">
        <f>VLOOKUP(F6,監督フォーメーション!$A$2:$C$10,3,FALSE)</f>
        <v>3142</v>
      </c>
      <c r="H6" s="1">
        <v>1212</v>
      </c>
      <c r="I6" s="1" t="s">
        <v>9</v>
      </c>
      <c r="J6" s="1">
        <v>4231</v>
      </c>
      <c r="K6" s="9">
        <v>0.49</v>
      </c>
      <c r="L6" s="1">
        <v>8</v>
      </c>
      <c r="M6" s="9">
        <v>0.91</v>
      </c>
      <c r="N6" s="1">
        <v>4</v>
      </c>
      <c r="O6" s="1">
        <v>1</v>
      </c>
      <c r="P6" s="1" t="str">
        <f t="shared" si="0"/>
        <v>勝</v>
      </c>
      <c r="Q6" s="8" t="s">
        <v>42</v>
      </c>
      <c r="S6" s="8" t="s">
        <v>41</v>
      </c>
      <c r="U6" s="8" t="s">
        <v>50</v>
      </c>
      <c r="W6" s="8" t="s">
        <v>50</v>
      </c>
      <c r="Y6" s="8" t="s">
        <v>12</v>
      </c>
      <c r="AA6" s="8"/>
      <c r="AC6" s="8"/>
      <c r="AE6" s="8"/>
    </row>
    <row r="7" spans="2:32" x14ac:dyDescent="0.4">
      <c r="B7" s="16">
        <v>44332</v>
      </c>
      <c r="C7" s="15">
        <v>0.124999999999999</v>
      </c>
      <c r="D7" s="21">
        <v>44332.125</v>
      </c>
      <c r="E7" s="25">
        <v>5</v>
      </c>
      <c r="F7" s="1">
        <v>4</v>
      </c>
      <c r="G7" s="1">
        <f>VLOOKUP(F7,監督フォーメーション!$A$2:$C$10,3,FALSE)</f>
        <v>3142</v>
      </c>
      <c r="H7" s="1">
        <v>1212</v>
      </c>
      <c r="I7" s="1" t="s">
        <v>9</v>
      </c>
      <c r="J7" s="1">
        <v>4213</v>
      </c>
      <c r="K7" s="9">
        <v>0.43</v>
      </c>
      <c r="L7" s="1">
        <v>5</v>
      </c>
      <c r="M7" s="9">
        <v>0.76</v>
      </c>
      <c r="N7" s="1">
        <v>3</v>
      </c>
      <c r="O7" s="1">
        <v>1</v>
      </c>
      <c r="P7" s="1" t="str">
        <f t="shared" si="0"/>
        <v>勝</v>
      </c>
      <c r="Q7" s="8" t="s">
        <v>41</v>
      </c>
      <c r="S7" s="8" t="s">
        <v>44</v>
      </c>
      <c r="U7" s="8" t="s">
        <v>52</v>
      </c>
      <c r="W7" s="8" t="s">
        <v>12</v>
      </c>
      <c r="Y7" s="8"/>
      <c r="AA7" s="8"/>
      <c r="AC7" s="8"/>
      <c r="AE7" s="8"/>
    </row>
    <row r="8" spans="2:32" x14ac:dyDescent="0.4">
      <c r="B8" s="16">
        <v>44332</v>
      </c>
      <c r="C8" s="15">
        <v>0.16666666666666599</v>
      </c>
      <c r="D8" s="21">
        <v>44332.166666666664</v>
      </c>
      <c r="E8" s="25">
        <v>6</v>
      </c>
      <c r="F8" s="1">
        <v>4</v>
      </c>
      <c r="G8" s="1">
        <f>VLOOKUP(F8,監督フォーメーション!$A$2:$C$10,3,FALSE)</f>
        <v>3142</v>
      </c>
      <c r="H8" s="1">
        <v>1212</v>
      </c>
      <c r="I8" s="1" t="s">
        <v>9</v>
      </c>
      <c r="J8" s="1">
        <v>4213</v>
      </c>
      <c r="K8" s="9">
        <v>0.55000000000000004</v>
      </c>
      <c r="L8" s="1">
        <v>4</v>
      </c>
      <c r="M8" s="9">
        <v>0.88</v>
      </c>
      <c r="N8" s="1">
        <v>2</v>
      </c>
      <c r="O8" s="1">
        <v>1</v>
      </c>
      <c r="P8" s="1" t="str">
        <f t="shared" si="0"/>
        <v>勝</v>
      </c>
      <c r="Q8" s="8" t="s">
        <v>42</v>
      </c>
      <c r="S8" s="8" t="s">
        <v>44</v>
      </c>
      <c r="U8" s="8" t="s">
        <v>12</v>
      </c>
      <c r="W8" s="8"/>
      <c r="Y8" s="8"/>
      <c r="AA8" s="8"/>
      <c r="AC8" s="8"/>
      <c r="AE8" s="8"/>
    </row>
    <row r="9" spans="2:32" x14ac:dyDescent="0.4">
      <c r="B9" s="16">
        <v>44332</v>
      </c>
      <c r="C9" s="15">
        <v>0.20833333333333301</v>
      </c>
      <c r="D9" s="21">
        <v>44332.208333333336</v>
      </c>
      <c r="E9" s="25">
        <v>7</v>
      </c>
      <c r="F9" s="1">
        <v>4</v>
      </c>
      <c r="G9" s="1">
        <f>VLOOKUP(F9,監督フォーメーション!$A$2:$C$10,3,FALSE)</f>
        <v>3142</v>
      </c>
      <c r="H9" s="1">
        <v>1212</v>
      </c>
      <c r="I9" s="1" t="s">
        <v>9</v>
      </c>
      <c r="J9" s="1">
        <v>433</v>
      </c>
      <c r="K9" s="9">
        <v>0.45</v>
      </c>
      <c r="L9" s="1">
        <v>3</v>
      </c>
      <c r="M9" s="9">
        <v>0.8</v>
      </c>
      <c r="N9" s="1">
        <v>1</v>
      </c>
      <c r="O9" s="1">
        <v>0</v>
      </c>
      <c r="P9" s="1" t="str">
        <f t="shared" si="0"/>
        <v>勝</v>
      </c>
      <c r="Q9" s="8" t="s">
        <v>42</v>
      </c>
      <c r="S9" s="8"/>
      <c r="U9" s="8"/>
      <c r="W9" s="8"/>
      <c r="Y9" s="8"/>
      <c r="AA9" s="8"/>
      <c r="AC9" s="8"/>
      <c r="AE9" s="8"/>
    </row>
    <row r="10" spans="2:32" x14ac:dyDescent="0.4">
      <c r="B10" s="16">
        <v>44332</v>
      </c>
      <c r="C10" s="15">
        <v>0.249999999999999</v>
      </c>
      <c r="D10" s="21">
        <v>44332.25</v>
      </c>
      <c r="E10" s="25">
        <v>8</v>
      </c>
      <c r="F10" s="1">
        <v>4</v>
      </c>
      <c r="G10" s="1">
        <f>VLOOKUP(F10,監督フォーメーション!$A$2:$C$10,3,FALSE)</f>
        <v>3142</v>
      </c>
      <c r="H10" s="1">
        <v>1212</v>
      </c>
      <c r="I10" s="1" t="s">
        <v>9</v>
      </c>
      <c r="J10" s="1">
        <v>4213</v>
      </c>
      <c r="K10" s="9">
        <v>0.53</v>
      </c>
      <c r="L10" s="1">
        <v>9</v>
      </c>
      <c r="M10" s="9">
        <v>0.86</v>
      </c>
      <c r="N10" s="1">
        <v>4</v>
      </c>
      <c r="O10" s="1">
        <v>0</v>
      </c>
      <c r="P10" s="1" t="str">
        <f t="shared" si="0"/>
        <v>勝</v>
      </c>
      <c r="Q10" s="8" t="s">
        <v>44</v>
      </c>
      <c r="S10" s="8" t="s">
        <v>42</v>
      </c>
      <c r="U10" s="8" t="s">
        <v>42</v>
      </c>
      <c r="W10" s="8" t="s">
        <v>54</v>
      </c>
      <c r="Y10" s="8"/>
      <c r="AA10" s="8"/>
      <c r="AC10" s="8"/>
      <c r="AE10" s="8"/>
    </row>
    <row r="11" spans="2:32" x14ac:dyDescent="0.4">
      <c r="B11" s="16">
        <v>44332</v>
      </c>
      <c r="C11" s="15">
        <v>0.29166666666666602</v>
      </c>
      <c r="D11" s="21">
        <v>44332.291666666664</v>
      </c>
      <c r="E11" s="25">
        <v>9</v>
      </c>
      <c r="F11" s="1">
        <v>4</v>
      </c>
      <c r="G11" s="1">
        <f>VLOOKUP(F11,監督フォーメーション!$A$2:$C$10,3,FALSE)</f>
        <v>3142</v>
      </c>
      <c r="H11" s="1">
        <v>1212</v>
      </c>
      <c r="I11" s="1" t="s">
        <v>9</v>
      </c>
      <c r="J11" s="1">
        <v>4213</v>
      </c>
      <c r="K11" s="9">
        <v>0.56000000000000005</v>
      </c>
      <c r="L11" s="1">
        <v>5</v>
      </c>
      <c r="M11" s="9">
        <v>0.89</v>
      </c>
      <c r="N11" s="1">
        <v>4</v>
      </c>
      <c r="O11" s="1">
        <v>0</v>
      </c>
      <c r="P11" s="1" t="str">
        <f t="shared" si="0"/>
        <v>勝</v>
      </c>
      <c r="Q11" s="8" t="s">
        <v>42</v>
      </c>
      <c r="S11" s="8" t="s">
        <v>55</v>
      </c>
      <c r="U11" s="8" t="s">
        <v>42</v>
      </c>
      <c r="W11" s="8" t="s">
        <v>44</v>
      </c>
      <c r="Y11" s="8"/>
      <c r="AA11" s="8"/>
      <c r="AC11" s="8"/>
      <c r="AE11" s="8"/>
    </row>
    <row r="12" spans="2:32" x14ac:dyDescent="0.4">
      <c r="B12" s="16">
        <v>44332</v>
      </c>
      <c r="C12" s="15">
        <v>0.33333333333333198</v>
      </c>
      <c r="D12" s="21">
        <v>44332.333333333336</v>
      </c>
      <c r="E12" s="25">
        <v>10</v>
      </c>
      <c r="F12" s="1">
        <v>4</v>
      </c>
      <c r="G12" s="1">
        <f>VLOOKUP(F12,監督フォーメーション!$A$2:$C$10,3,FALSE)</f>
        <v>3142</v>
      </c>
      <c r="H12" s="1">
        <v>1212</v>
      </c>
      <c r="I12" s="1" t="s">
        <v>9</v>
      </c>
      <c r="J12" s="1">
        <v>433</v>
      </c>
      <c r="K12" s="9">
        <v>0.52</v>
      </c>
      <c r="L12" s="1">
        <v>5</v>
      </c>
      <c r="M12" s="9">
        <v>0.85</v>
      </c>
      <c r="N12" s="1">
        <v>3</v>
      </c>
      <c r="O12" s="1">
        <v>0</v>
      </c>
      <c r="P12" s="1" t="str">
        <f t="shared" si="0"/>
        <v>勝</v>
      </c>
      <c r="Q12" s="8" t="s">
        <v>41</v>
      </c>
      <c r="S12" s="8" t="s">
        <v>42</v>
      </c>
      <c r="U12" s="8" t="s">
        <v>44</v>
      </c>
      <c r="W12" s="8"/>
      <c r="Y12" s="8"/>
      <c r="AA12" s="8"/>
      <c r="AC12" s="8"/>
      <c r="AE12" s="8"/>
    </row>
    <row r="13" spans="2:32" x14ac:dyDescent="0.4">
      <c r="B13" s="16">
        <v>44332</v>
      </c>
      <c r="C13" s="15">
        <v>0.374999999999999</v>
      </c>
      <c r="D13" s="21">
        <v>44332.375</v>
      </c>
      <c r="E13" s="25">
        <v>11</v>
      </c>
      <c r="F13" s="1">
        <v>4</v>
      </c>
      <c r="G13" s="1">
        <f>VLOOKUP(F13,監督フォーメーション!$A$2:$C$10,3,FALSE)</f>
        <v>3142</v>
      </c>
      <c r="H13" s="1">
        <v>1212</v>
      </c>
      <c r="I13" s="1" t="s">
        <v>9</v>
      </c>
      <c r="J13" s="1">
        <v>4213</v>
      </c>
      <c r="K13" s="9">
        <v>0.42</v>
      </c>
      <c r="L13" s="1">
        <v>3</v>
      </c>
      <c r="M13" s="9">
        <v>0.79</v>
      </c>
      <c r="N13" s="1">
        <v>2</v>
      </c>
      <c r="O13" s="1">
        <v>1</v>
      </c>
      <c r="P13" s="1" t="str">
        <f t="shared" si="0"/>
        <v>勝</v>
      </c>
      <c r="Q13" s="8" t="s">
        <v>41</v>
      </c>
      <c r="S13" s="8" t="s">
        <v>43</v>
      </c>
      <c r="U13" s="8" t="s">
        <v>12</v>
      </c>
      <c r="W13" s="8"/>
      <c r="Y13" s="8"/>
      <c r="AA13" s="8"/>
      <c r="AC13" s="8"/>
      <c r="AE13" s="8"/>
    </row>
    <row r="14" spans="2:32" x14ac:dyDescent="0.4">
      <c r="B14" s="16">
        <v>44332</v>
      </c>
      <c r="C14" s="15">
        <v>0.41666666666666602</v>
      </c>
      <c r="D14" s="21">
        <v>44332.416666666664</v>
      </c>
      <c r="E14" s="25">
        <v>12</v>
      </c>
      <c r="F14" s="1">
        <v>4</v>
      </c>
      <c r="G14" s="1">
        <f>VLOOKUP(F14,監督フォーメーション!$A$2:$C$10,3,FALSE)</f>
        <v>3142</v>
      </c>
      <c r="H14" s="1">
        <v>1212</v>
      </c>
      <c r="I14" s="1" t="s">
        <v>9</v>
      </c>
      <c r="J14" s="1">
        <v>433</v>
      </c>
      <c r="K14" s="9">
        <v>0.49</v>
      </c>
      <c r="L14" s="1">
        <v>6</v>
      </c>
      <c r="M14" s="9">
        <v>0.86</v>
      </c>
      <c r="N14" s="1">
        <v>0</v>
      </c>
      <c r="O14" s="1">
        <v>0</v>
      </c>
      <c r="P14" s="1" t="str">
        <f t="shared" si="0"/>
        <v>引</v>
      </c>
      <c r="Q14" s="8"/>
      <c r="S14" s="8"/>
      <c r="U14" s="8"/>
      <c r="W14" s="8"/>
      <c r="Y14" s="8"/>
      <c r="AA14" s="8"/>
      <c r="AC14" s="8"/>
      <c r="AE14" s="8"/>
    </row>
    <row r="15" spans="2:32" x14ac:dyDescent="0.4">
      <c r="B15" s="16">
        <v>44332</v>
      </c>
      <c r="C15" s="15">
        <v>0.45833333333333198</v>
      </c>
      <c r="D15" s="21">
        <v>44332.458333333336</v>
      </c>
      <c r="E15" s="25">
        <v>13</v>
      </c>
      <c r="F15" s="1">
        <v>4</v>
      </c>
      <c r="G15" s="1">
        <f>VLOOKUP(F15,監督フォーメーション!$A$2:$C$10,3,FALSE)</f>
        <v>3142</v>
      </c>
      <c r="H15" s="1">
        <v>1212</v>
      </c>
      <c r="I15" s="1" t="s">
        <v>9</v>
      </c>
      <c r="J15" s="1">
        <v>433</v>
      </c>
      <c r="K15" s="9">
        <v>0.49</v>
      </c>
      <c r="L15" s="1">
        <v>6</v>
      </c>
      <c r="M15" s="9">
        <v>0.91</v>
      </c>
      <c r="N15" s="1">
        <v>2</v>
      </c>
      <c r="O15" s="1">
        <v>1</v>
      </c>
      <c r="P15" s="1" t="str">
        <f t="shared" si="0"/>
        <v>勝</v>
      </c>
      <c r="Q15" s="8" t="s">
        <v>45</v>
      </c>
      <c r="S15" s="8" t="s">
        <v>53</v>
      </c>
      <c r="U15" s="8" t="s">
        <v>12</v>
      </c>
      <c r="W15" s="8"/>
      <c r="Y15" s="8"/>
      <c r="AA15"/>
      <c r="AC15" s="8"/>
      <c r="AE15" s="8"/>
    </row>
    <row r="16" spans="2:32" x14ac:dyDescent="0.4">
      <c r="B16" s="16">
        <v>44332</v>
      </c>
      <c r="C16" s="15">
        <v>0.499999999999999</v>
      </c>
      <c r="D16" s="21">
        <v>44332.5</v>
      </c>
      <c r="E16" s="25">
        <v>14</v>
      </c>
      <c r="F16" s="1">
        <v>4</v>
      </c>
      <c r="G16" s="1">
        <f>VLOOKUP(F16,監督フォーメーション!$A$2:$C$10,3,FALSE)</f>
        <v>3142</v>
      </c>
      <c r="H16" s="1">
        <v>1212</v>
      </c>
      <c r="I16" s="1" t="s">
        <v>9</v>
      </c>
      <c r="J16" s="1">
        <v>433</v>
      </c>
      <c r="K16" s="9">
        <v>0.5</v>
      </c>
      <c r="L16" s="1">
        <v>4</v>
      </c>
      <c r="M16" s="9">
        <v>0.84</v>
      </c>
      <c r="N16" s="1">
        <v>2</v>
      </c>
      <c r="O16" s="1">
        <v>3</v>
      </c>
      <c r="P16" s="1" t="str">
        <f t="shared" si="0"/>
        <v>負</v>
      </c>
      <c r="Q16" s="8" t="s">
        <v>43</v>
      </c>
      <c r="S16" s="8" t="s">
        <v>50</v>
      </c>
      <c r="U16" s="8" t="s">
        <v>12</v>
      </c>
      <c r="W16" s="8" t="s">
        <v>12</v>
      </c>
      <c r="Y16" s="8" t="s">
        <v>12</v>
      </c>
      <c r="AA16" s="8"/>
      <c r="AC16" s="8"/>
      <c r="AE16" s="8"/>
    </row>
    <row r="17" spans="2:31" x14ac:dyDescent="0.4">
      <c r="B17" s="16">
        <v>44332</v>
      </c>
      <c r="C17" s="15">
        <v>0.54166666666666596</v>
      </c>
      <c r="D17" s="21">
        <v>44332.541666666664</v>
      </c>
      <c r="E17" s="25">
        <v>15</v>
      </c>
      <c r="F17" s="1">
        <v>4</v>
      </c>
      <c r="G17" s="1">
        <f>VLOOKUP(F17,監督フォーメーション!$A$2:$C$10,3,FALSE)</f>
        <v>3142</v>
      </c>
      <c r="H17" s="1">
        <v>1212</v>
      </c>
      <c r="I17" s="1" t="s">
        <v>9</v>
      </c>
      <c r="J17" s="1">
        <v>4213</v>
      </c>
      <c r="K17" s="9">
        <v>0.47</v>
      </c>
      <c r="L17" s="1">
        <v>9</v>
      </c>
      <c r="M17" s="9">
        <v>0.87</v>
      </c>
      <c r="N17" s="1">
        <v>3</v>
      </c>
      <c r="O17" s="1">
        <v>0</v>
      </c>
      <c r="P17" s="1" t="str">
        <f t="shared" si="0"/>
        <v>勝</v>
      </c>
      <c r="Q17" s="8" t="s">
        <v>43</v>
      </c>
      <c r="S17" s="8" t="s">
        <v>48</v>
      </c>
      <c r="U17" s="8" t="s">
        <v>43</v>
      </c>
      <c r="W17" s="8"/>
      <c r="Y17" s="8"/>
      <c r="AA17" s="8"/>
      <c r="AC17" s="8"/>
      <c r="AE17" s="8"/>
    </row>
    <row r="18" spans="2:31" x14ac:dyDescent="0.4">
      <c r="B18" s="16">
        <v>44332</v>
      </c>
      <c r="C18" s="15">
        <v>0.58333333333333204</v>
      </c>
      <c r="D18" s="21">
        <v>44332.583333333336</v>
      </c>
      <c r="E18" s="25">
        <v>16</v>
      </c>
      <c r="F18" s="1">
        <v>4</v>
      </c>
      <c r="G18" s="1">
        <f>VLOOKUP(F18,監督フォーメーション!$A$2:$C$10,3,FALSE)</f>
        <v>3142</v>
      </c>
      <c r="H18" s="1">
        <v>1212</v>
      </c>
      <c r="I18" s="1">
        <v>1224</v>
      </c>
      <c r="J18" s="1">
        <v>3421</v>
      </c>
      <c r="K18" s="9">
        <v>0.6</v>
      </c>
      <c r="L18" s="1">
        <v>7</v>
      </c>
      <c r="M18" s="9">
        <v>0.82</v>
      </c>
      <c r="N18" s="1">
        <v>3</v>
      </c>
      <c r="O18" s="1">
        <v>0</v>
      </c>
      <c r="P18" s="1" t="str">
        <f t="shared" si="0"/>
        <v>勝</v>
      </c>
      <c r="Q18" s="8" t="s">
        <v>43</v>
      </c>
      <c r="S18" s="8" t="s">
        <v>45</v>
      </c>
      <c r="U18" s="8" t="s">
        <v>62</v>
      </c>
      <c r="W18" s="8"/>
      <c r="Y18" s="8"/>
      <c r="AA18" s="8"/>
      <c r="AC18" s="8"/>
      <c r="AE18" s="8"/>
    </row>
    <row r="19" spans="2:31" x14ac:dyDescent="0.4">
      <c r="B19" s="16">
        <v>44332</v>
      </c>
      <c r="C19" s="15">
        <v>0.624999999999999</v>
      </c>
      <c r="D19" s="21">
        <v>44332.625</v>
      </c>
      <c r="E19" s="25">
        <v>17</v>
      </c>
      <c r="F19" s="1">
        <v>4</v>
      </c>
      <c r="G19" s="1">
        <f>VLOOKUP(F19,監督フォーメーション!$A$2:$C$10,3,FALSE)</f>
        <v>3142</v>
      </c>
      <c r="H19" s="1">
        <v>1230</v>
      </c>
      <c r="I19" s="1">
        <v>1390</v>
      </c>
      <c r="J19" s="1">
        <v>4312</v>
      </c>
      <c r="K19" s="9">
        <v>0.55000000000000004</v>
      </c>
      <c r="L19" s="1">
        <v>7</v>
      </c>
      <c r="M19" s="9">
        <v>0.84</v>
      </c>
      <c r="N19" s="1">
        <v>2</v>
      </c>
      <c r="O19" s="1">
        <v>1</v>
      </c>
      <c r="P19" s="1" t="str">
        <f t="shared" si="0"/>
        <v>勝</v>
      </c>
      <c r="Q19" s="8" t="s">
        <v>45</v>
      </c>
      <c r="S19" s="8" t="s">
        <v>50</v>
      </c>
      <c r="U19" s="8" t="s">
        <v>12</v>
      </c>
      <c r="W19" s="8"/>
      <c r="Y19" s="8"/>
      <c r="AA19" s="8"/>
      <c r="AC19" s="8"/>
      <c r="AE19" s="8"/>
    </row>
    <row r="20" spans="2:31" x14ac:dyDescent="0.4">
      <c r="B20" s="16">
        <v>44332</v>
      </c>
      <c r="C20" s="15">
        <v>0.66666666666666596</v>
      </c>
      <c r="D20" s="21">
        <v>44332.666666666664</v>
      </c>
      <c r="E20" s="25">
        <v>18</v>
      </c>
      <c r="F20" s="1">
        <v>4</v>
      </c>
      <c r="G20" s="1">
        <f>VLOOKUP(F20,監督フォーメーション!$A$2:$C$10,3,FALSE)</f>
        <v>3142</v>
      </c>
      <c r="H20" s="1">
        <v>1248</v>
      </c>
      <c r="I20" s="1">
        <v>1210</v>
      </c>
      <c r="J20" s="1">
        <v>3241</v>
      </c>
      <c r="K20" s="9"/>
      <c r="M20" s="9"/>
      <c r="N20" s="1">
        <v>2</v>
      </c>
      <c r="O20" s="1">
        <v>0</v>
      </c>
      <c r="P20" s="1" t="str">
        <f t="shared" si="0"/>
        <v>勝</v>
      </c>
      <c r="Q20" s="8" t="s">
        <v>45</v>
      </c>
      <c r="S20" s="8" t="s">
        <v>43</v>
      </c>
      <c r="U20" s="8"/>
      <c r="W20" s="8"/>
      <c r="Y20" s="8"/>
      <c r="AA20" s="8"/>
      <c r="AC20" s="8"/>
      <c r="AE20" s="8"/>
    </row>
    <row r="21" spans="2:31" x14ac:dyDescent="0.4">
      <c r="B21" s="16">
        <v>44332</v>
      </c>
      <c r="C21" s="15">
        <v>0.70833333333333204</v>
      </c>
      <c r="D21" s="21">
        <v>44332.708333333336</v>
      </c>
      <c r="E21" s="25">
        <v>19</v>
      </c>
      <c r="F21" s="1">
        <v>4</v>
      </c>
      <c r="G21" s="1">
        <f>VLOOKUP(F21,監督フォーメーション!$A$2:$C$10,3,FALSE)</f>
        <v>3142</v>
      </c>
      <c r="H21" s="1">
        <v>1253</v>
      </c>
      <c r="I21" s="1">
        <v>1325</v>
      </c>
      <c r="J21" s="1">
        <v>4213</v>
      </c>
      <c r="K21" s="9">
        <v>0.59</v>
      </c>
      <c r="L21" s="1">
        <v>9</v>
      </c>
      <c r="M21" s="9">
        <v>0.88</v>
      </c>
      <c r="N21" s="1">
        <v>3</v>
      </c>
      <c r="O21" s="1">
        <v>0</v>
      </c>
      <c r="P21" s="1" t="str">
        <f t="shared" si="0"/>
        <v>勝</v>
      </c>
      <c r="Q21" s="8" t="s">
        <v>52</v>
      </c>
      <c r="S21" s="8" t="s">
        <v>43</v>
      </c>
      <c r="U21" s="8" t="s">
        <v>41</v>
      </c>
      <c r="W21" s="8"/>
      <c r="Y21" s="8"/>
      <c r="AA21" s="8"/>
      <c r="AC21" s="8"/>
      <c r="AE21" s="8"/>
    </row>
    <row r="22" spans="2:31" x14ac:dyDescent="0.4">
      <c r="B22" s="16">
        <v>44332</v>
      </c>
      <c r="C22" s="15">
        <v>0.749999999999999</v>
      </c>
      <c r="D22" s="21">
        <v>44332.75</v>
      </c>
      <c r="E22" s="25">
        <v>20</v>
      </c>
      <c r="F22" s="1">
        <v>4</v>
      </c>
      <c r="G22" s="1">
        <f>VLOOKUP(F22,監督フォーメーション!$A$2:$C$10,3,FALSE)</f>
        <v>3142</v>
      </c>
      <c r="H22" s="1">
        <v>1267</v>
      </c>
      <c r="I22" s="1">
        <v>1442</v>
      </c>
      <c r="J22" s="1">
        <v>5212</v>
      </c>
      <c r="K22" s="9">
        <v>0.52</v>
      </c>
      <c r="L22" s="1">
        <v>4</v>
      </c>
      <c r="M22" s="9">
        <v>0.84</v>
      </c>
      <c r="N22" s="1">
        <v>1</v>
      </c>
      <c r="O22" s="1">
        <v>1</v>
      </c>
      <c r="P22" s="1" t="str">
        <f t="shared" si="0"/>
        <v>引</v>
      </c>
      <c r="Q22" s="8" t="s">
        <v>48</v>
      </c>
      <c r="S22" s="8" t="s">
        <v>12</v>
      </c>
      <c r="U22" s="8"/>
      <c r="W22" s="8"/>
      <c r="Y22" s="8"/>
      <c r="AA22" s="8"/>
      <c r="AC22" s="8"/>
      <c r="AE22" s="8"/>
    </row>
    <row r="23" spans="2:31" x14ac:dyDescent="0.4">
      <c r="B23" s="16">
        <v>44332</v>
      </c>
      <c r="C23" s="15">
        <v>0.79166666666666596</v>
      </c>
      <c r="D23" s="21">
        <v>44332.791666666664</v>
      </c>
      <c r="E23" s="25">
        <v>21</v>
      </c>
      <c r="F23" s="1">
        <v>4</v>
      </c>
      <c r="G23" s="1">
        <f>VLOOKUP(F23,監督フォーメーション!$A$2:$C$10,3,FALSE)</f>
        <v>3142</v>
      </c>
      <c r="H23" s="1">
        <v>1273</v>
      </c>
      <c r="I23" s="1">
        <v>1561</v>
      </c>
      <c r="J23" s="1">
        <v>433</v>
      </c>
      <c r="K23" s="9">
        <v>0.48</v>
      </c>
      <c r="L23" s="1">
        <v>2</v>
      </c>
      <c r="M23" s="9">
        <v>0.83</v>
      </c>
      <c r="N23" s="1">
        <v>0</v>
      </c>
      <c r="O23" s="1">
        <v>1</v>
      </c>
      <c r="P23" s="1" t="str">
        <f t="shared" si="0"/>
        <v>負</v>
      </c>
      <c r="Q23" s="8" t="s">
        <v>12</v>
      </c>
      <c r="S23" s="8"/>
      <c r="U23" s="8"/>
      <c r="W23" s="8"/>
      <c r="Y23" s="8"/>
      <c r="AA23" s="8"/>
      <c r="AC23" s="8"/>
      <c r="AE23" s="8"/>
    </row>
    <row r="24" spans="2:31" x14ac:dyDescent="0.4">
      <c r="B24" s="16">
        <v>44332</v>
      </c>
      <c r="C24" s="15">
        <v>0.83333333333333204</v>
      </c>
      <c r="D24" s="21">
        <v>44332.833333333336</v>
      </c>
      <c r="E24" s="25">
        <v>22</v>
      </c>
      <c r="F24" s="1">
        <v>4</v>
      </c>
      <c r="G24" s="1">
        <f>VLOOKUP(F24,監督フォーメーション!$A$2:$C$10,3,FALSE)</f>
        <v>3142</v>
      </c>
      <c r="H24" s="1">
        <v>1270</v>
      </c>
      <c r="I24" s="1">
        <v>1001</v>
      </c>
      <c r="J24" s="1">
        <v>4213</v>
      </c>
      <c r="K24" s="9">
        <v>0.59</v>
      </c>
      <c r="L24" s="1">
        <v>5</v>
      </c>
      <c r="M24" s="9">
        <v>0.84</v>
      </c>
      <c r="N24" s="1">
        <v>3</v>
      </c>
      <c r="O24" s="1">
        <v>2</v>
      </c>
      <c r="P24" s="1" t="str">
        <f t="shared" si="0"/>
        <v>勝</v>
      </c>
      <c r="Q24" s="8" t="s">
        <v>43</v>
      </c>
      <c r="S24" s="8" t="s">
        <v>48</v>
      </c>
      <c r="U24" s="8" t="s">
        <v>12</v>
      </c>
      <c r="W24" s="8" t="s">
        <v>12</v>
      </c>
      <c r="Y24" s="8" t="s">
        <v>50</v>
      </c>
      <c r="AA24" s="8"/>
      <c r="AC24" s="8"/>
      <c r="AE24" s="8"/>
    </row>
    <row r="25" spans="2:31" x14ac:dyDescent="0.4">
      <c r="B25" s="16">
        <v>44332</v>
      </c>
      <c r="C25" s="15">
        <v>0.874999999999999</v>
      </c>
      <c r="D25" s="21">
        <v>44332.875</v>
      </c>
      <c r="E25" s="25">
        <v>23</v>
      </c>
      <c r="F25" s="1">
        <v>4</v>
      </c>
      <c r="G25" s="1">
        <f>VLOOKUP(F25,監督フォーメーション!$A$2:$C$10,3,FALSE)</f>
        <v>3142</v>
      </c>
      <c r="H25" s="1">
        <v>1275</v>
      </c>
      <c r="I25" s="1" t="s">
        <v>9</v>
      </c>
      <c r="J25" s="1">
        <v>4213</v>
      </c>
      <c r="K25" s="9">
        <v>0.49</v>
      </c>
      <c r="L25" s="1">
        <v>6</v>
      </c>
      <c r="M25" s="9">
        <v>0.84</v>
      </c>
      <c r="N25" s="1">
        <v>2</v>
      </c>
      <c r="O25" s="1">
        <v>0</v>
      </c>
      <c r="P25" s="1" t="str">
        <f t="shared" si="0"/>
        <v>勝</v>
      </c>
      <c r="Q25" s="8" t="s">
        <v>43</v>
      </c>
      <c r="S25" s="8" t="s">
        <v>41</v>
      </c>
      <c r="U25" s="8"/>
      <c r="W25" s="8"/>
      <c r="Y25" s="8"/>
      <c r="AA25" s="8"/>
      <c r="AC25" s="8"/>
      <c r="AE25" s="8"/>
    </row>
    <row r="26" spans="2:31" x14ac:dyDescent="0.4">
      <c r="B26" s="16">
        <v>44332</v>
      </c>
      <c r="C26" s="15">
        <v>0.91666666666666596</v>
      </c>
      <c r="D26" s="21">
        <v>44332.916666666664</v>
      </c>
      <c r="E26" s="25">
        <v>24</v>
      </c>
      <c r="F26" s="1">
        <v>4</v>
      </c>
      <c r="G26" s="1">
        <f>VLOOKUP(F26,監督フォーメーション!$A$2:$C$10,3,FALSE)</f>
        <v>3142</v>
      </c>
      <c r="H26" s="1">
        <v>1275</v>
      </c>
      <c r="I26" s="1" t="s">
        <v>9</v>
      </c>
      <c r="J26" s="1">
        <v>5122</v>
      </c>
      <c r="K26" s="9">
        <v>0.47</v>
      </c>
      <c r="L26" s="1">
        <v>4</v>
      </c>
      <c r="M26" s="9">
        <v>0.85</v>
      </c>
      <c r="N26" s="1">
        <v>2</v>
      </c>
      <c r="O26" s="1">
        <v>0</v>
      </c>
      <c r="P26" s="1" t="str">
        <f t="shared" si="0"/>
        <v>勝</v>
      </c>
      <c r="Q26" s="8" t="s">
        <v>41</v>
      </c>
      <c r="S26" s="8" t="s">
        <v>44</v>
      </c>
      <c r="U26" s="8"/>
      <c r="W26" s="8"/>
      <c r="Y26" s="8"/>
      <c r="AA26" s="8"/>
      <c r="AC26" s="8"/>
      <c r="AE26" s="8"/>
    </row>
    <row r="27" spans="2:31" x14ac:dyDescent="0.4">
      <c r="B27" s="16">
        <v>44332</v>
      </c>
      <c r="C27" s="15">
        <v>0.95833333333333204</v>
      </c>
      <c r="D27" s="21">
        <v>44332.958333333336</v>
      </c>
      <c r="E27" s="25">
        <v>25</v>
      </c>
      <c r="F27" s="1">
        <v>4</v>
      </c>
      <c r="G27" s="1">
        <f>VLOOKUP(F27,監督フォーメーション!$A$2:$C$10,3,FALSE)</f>
        <v>3142</v>
      </c>
      <c r="H27" s="1">
        <v>1275</v>
      </c>
      <c r="I27" s="1" t="s">
        <v>9</v>
      </c>
      <c r="J27" s="1">
        <v>4213</v>
      </c>
      <c r="K27" s="9">
        <v>0.52</v>
      </c>
      <c r="L27" s="1">
        <v>7</v>
      </c>
      <c r="M27" s="9">
        <v>0.88</v>
      </c>
      <c r="N27" s="1">
        <v>3</v>
      </c>
      <c r="O27" s="1">
        <v>0</v>
      </c>
      <c r="P27" s="1" t="str">
        <f t="shared" si="0"/>
        <v>勝</v>
      </c>
      <c r="Q27" s="8" t="s">
        <v>48</v>
      </c>
      <c r="S27" s="8" t="s">
        <v>48</v>
      </c>
      <c r="U27" s="8" t="s">
        <v>41</v>
      </c>
      <c r="W27" s="8"/>
      <c r="Y27" s="8"/>
      <c r="AA27" s="8"/>
      <c r="AC27" s="8"/>
      <c r="AE27" s="8"/>
    </row>
    <row r="28" spans="2:31" x14ac:dyDescent="0.4">
      <c r="B28" s="16">
        <v>44333</v>
      </c>
      <c r="C28" s="15">
        <v>0.999999999999999</v>
      </c>
      <c r="D28" s="21">
        <v>44334</v>
      </c>
      <c r="E28" s="25">
        <v>26</v>
      </c>
      <c r="F28" s="1">
        <v>4</v>
      </c>
      <c r="G28" s="1">
        <f>VLOOKUP(F28,監督フォーメーション!$A$2:$C$10,3,FALSE)</f>
        <v>3142</v>
      </c>
      <c r="H28" s="1">
        <v>1275</v>
      </c>
      <c r="I28" s="1" t="s">
        <v>9</v>
      </c>
      <c r="J28" s="1">
        <v>4213</v>
      </c>
      <c r="K28" s="9">
        <v>0.51</v>
      </c>
      <c r="L28" s="1">
        <v>8</v>
      </c>
      <c r="M28" s="9">
        <v>0.88</v>
      </c>
      <c r="N28" s="1">
        <v>5</v>
      </c>
      <c r="O28" s="1">
        <v>2</v>
      </c>
      <c r="P28" s="1" t="str">
        <f t="shared" si="0"/>
        <v>勝</v>
      </c>
      <c r="Q28" s="8" t="s">
        <v>43</v>
      </c>
      <c r="S28" s="8" t="s">
        <v>45</v>
      </c>
      <c r="U28" s="8" t="s">
        <v>48</v>
      </c>
      <c r="W28" s="8" t="s">
        <v>45</v>
      </c>
      <c r="Y28" s="8" t="s">
        <v>41</v>
      </c>
      <c r="AA28" s="8" t="s">
        <v>12</v>
      </c>
      <c r="AC28" s="8" t="s">
        <v>12</v>
      </c>
      <c r="AE28" s="8"/>
    </row>
    <row r="29" spans="2:31" x14ac:dyDescent="0.4">
      <c r="B29" s="16">
        <v>44334</v>
      </c>
      <c r="C29" s="15">
        <v>4.16666666666657E-2</v>
      </c>
      <c r="D29" s="21">
        <v>44334.041666666664</v>
      </c>
      <c r="E29" s="25">
        <v>27</v>
      </c>
      <c r="F29" s="1">
        <v>4</v>
      </c>
      <c r="G29" s="1">
        <f>VLOOKUP(F29,監督フォーメーション!$A$2:$C$10,3,FALSE)</f>
        <v>3142</v>
      </c>
      <c r="H29" s="1">
        <v>1275</v>
      </c>
      <c r="I29" s="1">
        <v>1273</v>
      </c>
      <c r="J29" s="1">
        <v>4213</v>
      </c>
      <c r="K29" s="9">
        <v>0.54</v>
      </c>
      <c r="L29" s="1">
        <v>3</v>
      </c>
      <c r="M29" s="9">
        <v>0.84</v>
      </c>
      <c r="N29" s="1">
        <v>2</v>
      </c>
      <c r="O29" s="1">
        <v>1</v>
      </c>
      <c r="P29" s="1" t="str">
        <f t="shared" si="0"/>
        <v>勝</v>
      </c>
      <c r="Q29" s="8" t="s">
        <v>43</v>
      </c>
      <c r="S29" s="8" t="s">
        <v>43</v>
      </c>
      <c r="U29" s="8" t="s">
        <v>12</v>
      </c>
      <c r="W29" s="8"/>
      <c r="Y29" s="8"/>
      <c r="AA29" s="8"/>
      <c r="AC29" s="8"/>
      <c r="AE29" s="8"/>
    </row>
    <row r="30" spans="2:31" x14ac:dyDescent="0.4">
      <c r="B30" s="16">
        <v>44334</v>
      </c>
      <c r="C30" s="15">
        <v>8.3333333333332302E-2</v>
      </c>
      <c r="D30" s="21">
        <v>44334.083333333336</v>
      </c>
      <c r="E30" s="25">
        <v>28</v>
      </c>
      <c r="F30" s="1">
        <v>4</v>
      </c>
      <c r="G30" s="1">
        <f>VLOOKUP(F30,監督フォーメーション!$A$2:$C$10,3,FALSE)</f>
        <v>3142</v>
      </c>
      <c r="H30" s="1">
        <v>1283</v>
      </c>
      <c r="I30" s="1" t="s">
        <v>9</v>
      </c>
      <c r="J30" s="1">
        <v>4222</v>
      </c>
      <c r="K30" s="9">
        <v>0.44</v>
      </c>
      <c r="L30" s="1">
        <v>5</v>
      </c>
      <c r="M30" s="9">
        <v>0.82</v>
      </c>
      <c r="N30" s="1">
        <f>COUNTA(Q30:AG30)-O30</f>
        <v>1</v>
      </c>
      <c r="O30" s="1">
        <f t="shared" ref="O30:O93" si="1">COUNTIF(Q30:AG30, "=失点")</f>
        <v>2</v>
      </c>
      <c r="P30" s="1" t="str">
        <f t="shared" si="0"/>
        <v>負</v>
      </c>
      <c r="Q30" s="8" t="s">
        <v>12</v>
      </c>
      <c r="S30" s="8" t="s">
        <v>12</v>
      </c>
      <c r="U30" s="8" t="s">
        <v>42</v>
      </c>
      <c r="W30" s="8"/>
      <c r="Y30" s="8"/>
      <c r="AA30" s="8"/>
      <c r="AC30" s="8"/>
      <c r="AE30" s="8"/>
    </row>
    <row r="31" spans="2:31" x14ac:dyDescent="0.4">
      <c r="B31" s="16">
        <v>44334</v>
      </c>
      <c r="C31" s="15">
        <v>0.124999999999999</v>
      </c>
      <c r="D31" s="21">
        <v>44334.125</v>
      </c>
      <c r="E31" s="25">
        <v>29</v>
      </c>
      <c r="F31" s="1">
        <v>4</v>
      </c>
      <c r="G31" s="1">
        <f>VLOOKUP(F31,監督フォーメーション!$A$2:$C$10,3,FALSE)</f>
        <v>3142</v>
      </c>
      <c r="H31" s="1">
        <v>1283</v>
      </c>
      <c r="I31" s="1" t="s">
        <v>9</v>
      </c>
      <c r="J31" s="1">
        <v>433</v>
      </c>
      <c r="K31" s="9">
        <v>0.51</v>
      </c>
      <c r="L31" s="1">
        <v>3</v>
      </c>
      <c r="M31" s="9">
        <v>0.85</v>
      </c>
      <c r="N31" s="1">
        <f t="shared" ref="N31:N77" si="2">COUNTA(Q31:AG31)-O31</f>
        <v>1</v>
      </c>
      <c r="O31" s="1">
        <f t="shared" si="1"/>
        <v>0</v>
      </c>
      <c r="P31" s="1" t="str">
        <f t="shared" si="0"/>
        <v>勝</v>
      </c>
      <c r="Q31" s="8" t="s">
        <v>42</v>
      </c>
      <c r="S31" s="8"/>
      <c r="U31" s="8"/>
      <c r="W31" s="8"/>
      <c r="Y31" s="8"/>
      <c r="AA31" s="8"/>
      <c r="AC31" s="8"/>
      <c r="AE31" s="8"/>
    </row>
    <row r="32" spans="2:31" x14ac:dyDescent="0.4">
      <c r="B32" s="16">
        <v>44334</v>
      </c>
      <c r="C32" s="15">
        <v>0.16666666666666599</v>
      </c>
      <c r="D32" s="21">
        <v>44334.166666666664</v>
      </c>
      <c r="E32" s="25">
        <v>30</v>
      </c>
      <c r="F32" s="1">
        <v>4</v>
      </c>
      <c r="G32" s="1">
        <f>VLOOKUP(F32,監督フォーメーション!$A$2:$C$10,3,FALSE)</f>
        <v>3142</v>
      </c>
      <c r="H32" s="1">
        <v>1283</v>
      </c>
      <c r="I32" s="1" t="s">
        <v>9</v>
      </c>
      <c r="J32" s="1">
        <v>3133</v>
      </c>
      <c r="K32" s="9">
        <v>0.59</v>
      </c>
      <c r="L32" s="1">
        <v>7</v>
      </c>
      <c r="M32" s="9">
        <v>0.87</v>
      </c>
      <c r="N32" s="1">
        <f t="shared" si="2"/>
        <v>4</v>
      </c>
      <c r="O32" s="1">
        <f t="shared" si="1"/>
        <v>0</v>
      </c>
      <c r="P32" s="1" t="str">
        <f t="shared" si="0"/>
        <v>勝</v>
      </c>
      <c r="Q32" s="8" t="s">
        <v>42</v>
      </c>
      <c r="S32" s="8" t="s">
        <v>42</v>
      </c>
      <c r="U32" s="8" t="s">
        <v>42</v>
      </c>
      <c r="W32" s="8" t="s">
        <v>44</v>
      </c>
      <c r="Y32" s="8"/>
      <c r="AA32" s="8"/>
      <c r="AC32" s="8"/>
      <c r="AE32" s="8"/>
    </row>
    <row r="33" spans="2:42" x14ac:dyDescent="0.4">
      <c r="B33" s="16">
        <v>44334</v>
      </c>
      <c r="C33" s="15">
        <v>0.20833333333333201</v>
      </c>
      <c r="D33" s="21">
        <v>44334.208333333336</v>
      </c>
      <c r="E33" s="25">
        <v>31</v>
      </c>
      <c r="F33" s="1">
        <v>4</v>
      </c>
      <c r="G33" s="1">
        <f>VLOOKUP(F33,監督フォーメーション!$A$2:$C$10,3,FALSE)</f>
        <v>3142</v>
      </c>
      <c r="H33" s="1">
        <v>1283</v>
      </c>
      <c r="I33" s="1" t="s">
        <v>9</v>
      </c>
      <c r="J33" s="1">
        <v>4213</v>
      </c>
      <c r="K33" s="9">
        <v>0.5</v>
      </c>
      <c r="L33" s="1">
        <v>5</v>
      </c>
      <c r="M33" s="9">
        <v>0.81</v>
      </c>
      <c r="N33" s="1">
        <f t="shared" si="2"/>
        <v>1</v>
      </c>
      <c r="O33" s="1">
        <f t="shared" si="1"/>
        <v>0</v>
      </c>
      <c r="P33" s="1" t="str">
        <f t="shared" si="0"/>
        <v>勝</v>
      </c>
      <c r="Q33" s="8" t="s">
        <v>44</v>
      </c>
      <c r="S33" s="8"/>
      <c r="U33" s="8"/>
      <c r="W33" s="8"/>
      <c r="Y33" s="8"/>
      <c r="AA33" s="8"/>
      <c r="AC33" s="8"/>
      <c r="AE33" s="8"/>
    </row>
    <row r="34" spans="2:42" x14ac:dyDescent="0.4">
      <c r="B34" s="16">
        <v>44334</v>
      </c>
      <c r="C34" s="15">
        <v>0.249999999999999</v>
      </c>
      <c r="D34" s="21">
        <v>44334.25</v>
      </c>
      <c r="E34" s="25">
        <v>32</v>
      </c>
      <c r="F34" s="1">
        <v>4</v>
      </c>
      <c r="G34" s="1">
        <f>VLOOKUP(F34,監督フォーメーション!$A$2:$C$10,3,FALSE)</f>
        <v>3142</v>
      </c>
      <c r="H34" s="1">
        <v>1283</v>
      </c>
      <c r="I34" s="1" t="s">
        <v>9</v>
      </c>
      <c r="J34" s="1">
        <v>4222</v>
      </c>
      <c r="K34" s="9">
        <v>0.56000000000000005</v>
      </c>
      <c r="L34" s="1">
        <v>4</v>
      </c>
      <c r="M34" s="9">
        <v>0.89</v>
      </c>
      <c r="N34" s="1">
        <f t="shared" si="2"/>
        <v>0</v>
      </c>
      <c r="O34" s="1">
        <f t="shared" si="1"/>
        <v>0</v>
      </c>
      <c r="P34" s="1" t="str">
        <f t="shared" si="0"/>
        <v>引</v>
      </c>
      <c r="Q34" s="8"/>
      <c r="S34" s="8"/>
      <c r="U34" s="8"/>
      <c r="W34" s="8"/>
      <c r="Y34" s="8"/>
      <c r="AA34" s="8"/>
      <c r="AC34" s="8"/>
      <c r="AE34" s="8"/>
    </row>
    <row r="35" spans="2:42" x14ac:dyDescent="0.4">
      <c r="B35" s="16">
        <v>44334</v>
      </c>
      <c r="C35" s="15">
        <v>0.29166666666666602</v>
      </c>
      <c r="D35" s="21">
        <v>44334.291666666664</v>
      </c>
      <c r="E35" s="25">
        <v>33</v>
      </c>
      <c r="F35" s="1">
        <v>4</v>
      </c>
      <c r="G35" s="1">
        <f>VLOOKUP(F35,監督フォーメーション!$A$2:$C$10,3,FALSE)</f>
        <v>3142</v>
      </c>
      <c r="H35" s="1">
        <v>1283</v>
      </c>
      <c r="I35" s="1" t="s">
        <v>9</v>
      </c>
      <c r="J35" s="1">
        <v>4222</v>
      </c>
      <c r="K35" s="9">
        <v>0.47</v>
      </c>
      <c r="L35" s="1">
        <v>4</v>
      </c>
      <c r="M35" s="9">
        <v>0.85</v>
      </c>
      <c r="N35" s="1">
        <f t="shared" si="2"/>
        <v>2</v>
      </c>
      <c r="O35" s="1">
        <f t="shared" si="1"/>
        <v>0</v>
      </c>
      <c r="P35" s="1" t="str">
        <f t="shared" si="0"/>
        <v>勝</v>
      </c>
      <c r="Q35" s="8" t="s">
        <v>41</v>
      </c>
      <c r="S35" s="8" t="s">
        <v>42</v>
      </c>
      <c r="U35" s="8"/>
      <c r="W35" s="8"/>
      <c r="Y35" s="8"/>
      <c r="AA35" s="8"/>
      <c r="AC35" s="8"/>
      <c r="AE35" s="8"/>
    </row>
    <row r="36" spans="2:42" x14ac:dyDescent="0.4">
      <c r="B36" s="16">
        <v>44334</v>
      </c>
      <c r="C36" s="15">
        <v>0.33333333333333198</v>
      </c>
      <c r="D36" s="21">
        <v>44334.333333333336</v>
      </c>
      <c r="E36" s="25">
        <v>34</v>
      </c>
      <c r="F36" s="1">
        <v>4</v>
      </c>
      <c r="G36" s="1">
        <f>VLOOKUP(F36,監督フォーメーション!$A$2:$C$10,3,FALSE)</f>
        <v>3142</v>
      </c>
      <c r="H36" s="1">
        <v>1283</v>
      </c>
      <c r="I36" s="1" t="s">
        <v>9</v>
      </c>
      <c r="J36" s="1">
        <v>4222</v>
      </c>
      <c r="K36" s="9">
        <v>0.54</v>
      </c>
      <c r="L36" s="1">
        <v>11</v>
      </c>
      <c r="M36" s="9">
        <v>0.85</v>
      </c>
      <c r="N36" s="1">
        <f t="shared" si="2"/>
        <v>1</v>
      </c>
      <c r="O36" s="1">
        <f t="shared" si="1"/>
        <v>1</v>
      </c>
      <c r="P36" s="1" t="str">
        <f t="shared" si="0"/>
        <v>引</v>
      </c>
      <c r="Q36" s="8" t="s">
        <v>43</v>
      </c>
      <c r="S36" s="8" t="s">
        <v>12</v>
      </c>
      <c r="U36" s="8"/>
      <c r="W36" s="8"/>
      <c r="Y36" s="8"/>
      <c r="AA36" s="8"/>
      <c r="AC36" s="8"/>
      <c r="AE36" s="8"/>
    </row>
    <row r="37" spans="2:42" x14ac:dyDescent="0.4">
      <c r="B37" s="16">
        <v>44334</v>
      </c>
      <c r="C37" s="15">
        <v>0.374999999999999</v>
      </c>
      <c r="D37" s="21">
        <v>44334.375</v>
      </c>
      <c r="E37" s="25">
        <v>35</v>
      </c>
      <c r="F37" s="1">
        <v>4</v>
      </c>
      <c r="G37" s="1">
        <f>VLOOKUP(F37,監督フォーメーション!$A$2:$C$10,3,FALSE)</f>
        <v>3142</v>
      </c>
      <c r="H37" s="1">
        <v>1283</v>
      </c>
      <c r="I37" s="1">
        <v>1300</v>
      </c>
      <c r="J37" s="1">
        <v>4312</v>
      </c>
      <c r="K37" s="9">
        <v>0.63</v>
      </c>
      <c r="L37" s="1">
        <v>9</v>
      </c>
      <c r="M37" s="9">
        <v>0.89</v>
      </c>
      <c r="N37" s="1">
        <f t="shared" si="2"/>
        <v>2</v>
      </c>
      <c r="O37" s="1">
        <f t="shared" si="1"/>
        <v>4</v>
      </c>
      <c r="P37" s="1" t="str">
        <f t="shared" si="0"/>
        <v>負</v>
      </c>
      <c r="Q37" s="8" t="s">
        <v>42</v>
      </c>
      <c r="S37" s="8" t="s">
        <v>12</v>
      </c>
      <c r="U37" s="8" t="s">
        <v>42</v>
      </c>
      <c r="W37" s="8" t="s">
        <v>12</v>
      </c>
      <c r="Y37" s="8" t="s">
        <v>12</v>
      </c>
      <c r="AA37" s="8" t="s">
        <v>12</v>
      </c>
      <c r="AC37" s="8"/>
      <c r="AE37" s="8"/>
    </row>
    <row r="38" spans="2:42" x14ac:dyDescent="0.4">
      <c r="B38" s="16">
        <v>44334</v>
      </c>
      <c r="C38" s="15">
        <v>0.41666666666666602</v>
      </c>
      <c r="D38" s="21">
        <v>44334.416666666664</v>
      </c>
      <c r="E38" s="25">
        <v>36</v>
      </c>
      <c r="F38" s="1">
        <v>4</v>
      </c>
      <c r="G38" s="1">
        <f>VLOOKUP(F38,監督フォーメーション!$A$2:$C$10,3,FALSE)</f>
        <v>3142</v>
      </c>
      <c r="H38" s="1">
        <v>1274</v>
      </c>
      <c r="I38" s="1">
        <v>1280</v>
      </c>
      <c r="J38" s="1">
        <v>4114</v>
      </c>
      <c r="K38" s="9">
        <v>0.56999999999999995</v>
      </c>
      <c r="L38" s="1">
        <v>5</v>
      </c>
      <c r="M38" s="9">
        <v>0.84</v>
      </c>
      <c r="N38" s="1">
        <f t="shared" si="2"/>
        <v>0</v>
      </c>
      <c r="O38" s="1">
        <f t="shared" si="1"/>
        <v>0</v>
      </c>
      <c r="P38" s="1" t="str">
        <f t="shared" si="0"/>
        <v>引</v>
      </c>
      <c r="Q38" s="8"/>
      <c r="S38" s="8"/>
      <c r="U38" s="8"/>
      <c r="W38" s="8"/>
      <c r="Y38" s="8"/>
      <c r="AA38" s="8"/>
      <c r="AC38" s="8"/>
      <c r="AE38" s="8"/>
    </row>
    <row r="39" spans="2:42" x14ac:dyDescent="0.4">
      <c r="B39" s="16">
        <v>44334</v>
      </c>
      <c r="C39" s="15">
        <v>0.45833333333333198</v>
      </c>
      <c r="D39" s="21">
        <v>44334.458333333336</v>
      </c>
      <c r="E39" s="25">
        <v>37</v>
      </c>
      <c r="F39" s="1">
        <v>4</v>
      </c>
      <c r="G39" s="1">
        <f>VLOOKUP(F39,監督フォーメーション!$A$2:$C$10,3,FALSE)</f>
        <v>3142</v>
      </c>
      <c r="H39" s="1">
        <v>1275</v>
      </c>
      <c r="I39" s="1">
        <v>1009</v>
      </c>
      <c r="J39" s="1">
        <v>4222</v>
      </c>
      <c r="K39" s="9" t="s">
        <v>13</v>
      </c>
      <c r="L39" s="1" t="s">
        <v>13</v>
      </c>
      <c r="M39" s="9" t="s">
        <v>13</v>
      </c>
      <c r="N39" s="1">
        <f t="shared" si="2"/>
        <v>3</v>
      </c>
      <c r="O39" s="1">
        <f t="shared" si="1"/>
        <v>0</v>
      </c>
      <c r="P39" s="1" t="str">
        <f t="shared" si="0"/>
        <v>勝</v>
      </c>
      <c r="Q39" s="8" t="s">
        <v>42</v>
      </c>
      <c r="S39" s="8" t="s">
        <v>49</v>
      </c>
      <c r="U39" s="8" t="s">
        <v>42</v>
      </c>
      <c r="W39" s="8"/>
      <c r="Y39" s="8"/>
      <c r="AA39" s="8"/>
      <c r="AC39" s="8"/>
      <c r="AE39" s="8"/>
    </row>
    <row r="40" spans="2:42" x14ac:dyDescent="0.4">
      <c r="B40" s="16">
        <v>44335</v>
      </c>
      <c r="C40" s="15">
        <v>0.499999999999999</v>
      </c>
      <c r="D40" s="21">
        <v>44335.5</v>
      </c>
      <c r="E40" s="25">
        <v>38</v>
      </c>
      <c r="F40" s="1">
        <v>4</v>
      </c>
      <c r="G40" s="1">
        <f>VLOOKUP(F40,監督フォーメーション!$A$2:$C$10,3,FALSE)</f>
        <v>3142</v>
      </c>
      <c r="H40" s="1">
        <v>1280</v>
      </c>
      <c r="I40" s="1">
        <v>906</v>
      </c>
      <c r="J40" s="1">
        <v>4312</v>
      </c>
      <c r="K40" s="9">
        <v>0.52</v>
      </c>
      <c r="L40" s="1">
        <v>4</v>
      </c>
      <c r="M40" s="9">
        <v>0.88</v>
      </c>
      <c r="N40" s="1">
        <f t="shared" si="2"/>
        <v>0</v>
      </c>
      <c r="O40" s="1">
        <f t="shared" si="1"/>
        <v>2</v>
      </c>
      <c r="P40" s="1" t="str">
        <f t="shared" si="0"/>
        <v>負</v>
      </c>
      <c r="Q40" s="8" t="s">
        <v>12</v>
      </c>
      <c r="S40" s="8" t="s">
        <v>12</v>
      </c>
      <c r="U40" s="8"/>
      <c r="W40" s="8"/>
      <c r="Y40" s="8"/>
      <c r="AA40" s="8"/>
      <c r="AC40" s="8"/>
      <c r="AE40" s="8"/>
    </row>
    <row r="41" spans="2:42" x14ac:dyDescent="0.4">
      <c r="B41" s="16">
        <v>44336</v>
      </c>
      <c r="C41" s="15">
        <v>0.54166666666666596</v>
      </c>
      <c r="D41" s="21">
        <v>44336.541666666664</v>
      </c>
      <c r="E41" s="25">
        <v>39</v>
      </c>
      <c r="F41" s="1">
        <v>4</v>
      </c>
      <c r="G41" s="1">
        <f>VLOOKUP(F41,監督フォーメーション!$A$2:$C$10,3,FALSE)</f>
        <v>3142</v>
      </c>
      <c r="H41" s="1">
        <v>1262</v>
      </c>
      <c r="I41" s="1">
        <v>1000</v>
      </c>
      <c r="J41" s="1">
        <v>4123</v>
      </c>
      <c r="K41" s="9">
        <v>0.64</v>
      </c>
      <c r="L41" s="1">
        <v>10</v>
      </c>
      <c r="M41" s="9">
        <v>0.86</v>
      </c>
      <c r="N41" s="1">
        <f t="shared" si="2"/>
        <v>5</v>
      </c>
      <c r="O41" s="1">
        <f t="shared" si="1"/>
        <v>1</v>
      </c>
      <c r="P41" s="1" t="str">
        <f t="shared" si="0"/>
        <v>勝</v>
      </c>
      <c r="Q41" s="8" t="s">
        <v>42</v>
      </c>
      <c r="S41" s="8" t="s">
        <v>42</v>
      </c>
      <c r="U41" s="8" t="s">
        <v>12</v>
      </c>
      <c r="W41" s="8" t="s">
        <v>42</v>
      </c>
      <c r="Y41" s="8" t="s">
        <v>43</v>
      </c>
      <c r="AA41" s="8" t="s">
        <v>61</v>
      </c>
      <c r="AC41" s="8"/>
      <c r="AE41" s="8"/>
    </row>
    <row r="42" spans="2:42" x14ac:dyDescent="0.4">
      <c r="B42" s="16">
        <v>44337</v>
      </c>
      <c r="C42" s="15">
        <v>0.58333333333333204</v>
      </c>
      <c r="D42" s="21">
        <v>44337.583333333336</v>
      </c>
      <c r="E42" s="25">
        <v>40</v>
      </c>
      <c r="F42" s="1">
        <v>4</v>
      </c>
      <c r="G42" s="1">
        <f>VLOOKUP(F42,監督フォーメーション!$A$2:$C$10,3,FALSE)</f>
        <v>3142</v>
      </c>
      <c r="H42" s="1">
        <v>1266</v>
      </c>
      <c r="I42" s="1" t="s">
        <v>9</v>
      </c>
      <c r="J42" s="1">
        <v>433</v>
      </c>
      <c r="K42" s="9">
        <v>0.55000000000000004</v>
      </c>
      <c r="L42" s="1">
        <v>7</v>
      </c>
      <c r="M42" s="9">
        <v>0.82</v>
      </c>
      <c r="N42" s="1">
        <f t="shared" si="2"/>
        <v>3</v>
      </c>
      <c r="O42" s="1">
        <f t="shared" si="1"/>
        <v>2</v>
      </c>
      <c r="P42" s="1" t="str">
        <f t="shared" si="0"/>
        <v>勝</v>
      </c>
      <c r="Q42" s="8" t="s">
        <v>12</v>
      </c>
      <c r="S42" s="8" t="s">
        <v>42</v>
      </c>
      <c r="U42" s="8" t="s">
        <v>12</v>
      </c>
      <c r="W42" s="8" t="s">
        <v>44</v>
      </c>
      <c r="Y42" s="8" t="s">
        <v>41</v>
      </c>
      <c r="AA42" s="8"/>
      <c r="AC42" s="8"/>
      <c r="AE42" s="8"/>
    </row>
    <row r="43" spans="2:42" x14ac:dyDescent="0.4">
      <c r="B43" s="16">
        <v>44338</v>
      </c>
      <c r="C43" s="15">
        <v>0.624999999999999</v>
      </c>
      <c r="D43" s="21">
        <v>44338.625</v>
      </c>
      <c r="E43" s="25">
        <v>41</v>
      </c>
      <c r="F43" s="1">
        <v>4</v>
      </c>
      <c r="G43" s="1">
        <f>VLOOKUP(F43,監督フォーメーション!$A$2:$C$10,3,FALSE)</f>
        <v>3142</v>
      </c>
      <c r="H43" s="1">
        <v>1266</v>
      </c>
      <c r="I43" s="1" t="s">
        <v>9</v>
      </c>
      <c r="J43" s="1">
        <v>4213</v>
      </c>
      <c r="K43" s="9">
        <v>0.49</v>
      </c>
      <c r="L43" s="1">
        <v>6</v>
      </c>
      <c r="M43" s="9">
        <v>0.9</v>
      </c>
      <c r="N43" s="1">
        <f t="shared" si="2"/>
        <v>3</v>
      </c>
      <c r="O43" s="1">
        <f t="shared" si="1"/>
        <v>0</v>
      </c>
      <c r="P43" s="1" t="str">
        <f t="shared" si="0"/>
        <v>勝</v>
      </c>
      <c r="Q43" s="8" t="s">
        <v>42</v>
      </c>
      <c r="S43" s="8" t="s">
        <v>41</v>
      </c>
      <c r="U43" s="8" t="s">
        <v>61</v>
      </c>
      <c r="W43" s="8"/>
      <c r="Y43" s="8"/>
      <c r="AA43" s="8"/>
      <c r="AC43" s="8"/>
      <c r="AE43" s="8"/>
    </row>
    <row r="44" spans="2:42" x14ac:dyDescent="0.4">
      <c r="B44" s="16">
        <v>44339</v>
      </c>
      <c r="C44" s="15">
        <v>0.66666666666666596</v>
      </c>
      <c r="D44" s="21">
        <v>44339.666666666664</v>
      </c>
      <c r="E44" s="25">
        <v>42</v>
      </c>
      <c r="F44" s="1">
        <v>4</v>
      </c>
      <c r="G44" s="1">
        <f>VLOOKUP(F44,監督フォーメーション!$A$2:$C$10,3,FALSE)</f>
        <v>3142</v>
      </c>
      <c r="H44" s="1">
        <v>1266</v>
      </c>
      <c r="I44" s="1" t="s">
        <v>9</v>
      </c>
      <c r="J44" s="1">
        <v>4213</v>
      </c>
      <c r="K44" s="9">
        <v>0.43</v>
      </c>
      <c r="L44" s="1">
        <v>7</v>
      </c>
      <c r="M44" s="9">
        <v>0.84</v>
      </c>
      <c r="N44" s="1">
        <f t="shared" si="2"/>
        <v>1</v>
      </c>
      <c r="O44" s="1">
        <f t="shared" si="1"/>
        <v>1</v>
      </c>
      <c r="P44" s="1" t="str">
        <f t="shared" si="0"/>
        <v>引</v>
      </c>
      <c r="Q44" s="8" t="s">
        <v>12</v>
      </c>
      <c r="S44" s="8" t="s">
        <v>49</v>
      </c>
      <c r="U44" s="8"/>
      <c r="W44" s="8"/>
      <c r="Y44" s="8"/>
      <c r="AA44" s="8"/>
      <c r="AC44" s="8"/>
      <c r="AE44" s="8"/>
    </row>
    <row r="45" spans="2:42" x14ac:dyDescent="0.4">
      <c r="B45" s="16">
        <v>44340</v>
      </c>
      <c r="C45" s="15">
        <v>0.70833333333333204</v>
      </c>
      <c r="D45" s="21">
        <v>44340.708333333336</v>
      </c>
      <c r="E45" s="25">
        <v>43</v>
      </c>
      <c r="F45" s="1">
        <v>4</v>
      </c>
      <c r="G45" s="1">
        <f>VLOOKUP(F45,監督フォーメーション!$A$2:$C$10,3,FALSE)</f>
        <v>3142</v>
      </c>
      <c r="H45" s="1">
        <v>1266</v>
      </c>
      <c r="I45" s="1" t="s">
        <v>9</v>
      </c>
      <c r="J45" s="1">
        <v>433</v>
      </c>
      <c r="K45" s="9">
        <v>0.45</v>
      </c>
      <c r="L45" s="1">
        <v>5</v>
      </c>
      <c r="M45" s="9">
        <v>0.87</v>
      </c>
      <c r="N45" s="1">
        <f t="shared" si="2"/>
        <v>2</v>
      </c>
      <c r="O45" s="1">
        <f t="shared" si="1"/>
        <v>1</v>
      </c>
      <c r="P45" s="1" t="str">
        <f t="shared" si="0"/>
        <v>勝</v>
      </c>
      <c r="Q45" s="8" t="s">
        <v>42</v>
      </c>
      <c r="S45" s="8" t="s">
        <v>42</v>
      </c>
      <c r="U45" s="8" t="s">
        <v>12</v>
      </c>
      <c r="W45" s="8"/>
      <c r="Y45" s="8"/>
      <c r="AA45" s="8"/>
      <c r="AC45" s="8"/>
      <c r="AE45" s="8"/>
      <c r="AG45" s="13"/>
      <c r="AH45" s="13"/>
      <c r="AI45" s="13"/>
      <c r="AJ45" s="13"/>
      <c r="AK45" s="13"/>
      <c r="AL45" s="13"/>
      <c r="AM45" s="13"/>
      <c r="AN45" s="13"/>
      <c r="AO45" s="13"/>
      <c r="AP45" s="13"/>
    </row>
    <row r="46" spans="2:42" x14ac:dyDescent="0.4">
      <c r="B46" s="16">
        <v>44341</v>
      </c>
      <c r="C46" s="15">
        <v>0.749999999999999</v>
      </c>
      <c r="D46" s="21">
        <v>44341.75</v>
      </c>
      <c r="E46" s="25">
        <v>44</v>
      </c>
      <c r="F46" s="1">
        <v>4</v>
      </c>
      <c r="G46" s="1">
        <f>VLOOKUP(F46,監督フォーメーション!$A$2:$C$10,3,FALSE)</f>
        <v>3142</v>
      </c>
      <c r="H46" s="1">
        <v>1266</v>
      </c>
      <c r="I46" s="1" t="s">
        <v>9</v>
      </c>
      <c r="J46" s="1">
        <v>4312</v>
      </c>
      <c r="K46" s="9">
        <v>0.52</v>
      </c>
      <c r="L46" s="1">
        <v>5</v>
      </c>
      <c r="M46" s="9">
        <v>0.89</v>
      </c>
      <c r="N46" s="1">
        <f t="shared" si="2"/>
        <v>3</v>
      </c>
      <c r="O46" s="1">
        <f t="shared" si="1"/>
        <v>1</v>
      </c>
      <c r="P46" s="1" t="str">
        <f t="shared" si="0"/>
        <v>勝</v>
      </c>
      <c r="Q46" s="8" t="s">
        <v>43</v>
      </c>
      <c r="S46" s="8" t="s">
        <v>41</v>
      </c>
      <c r="U46" s="8" t="s">
        <v>12</v>
      </c>
      <c r="W46" s="8" t="s">
        <v>42</v>
      </c>
      <c r="Y46" s="8"/>
      <c r="AA46" s="8"/>
      <c r="AC46" s="8"/>
      <c r="AE46" s="8"/>
      <c r="AG46" s="13"/>
      <c r="AH46" s="13"/>
      <c r="AI46" s="13"/>
      <c r="AJ46" s="13"/>
      <c r="AK46" s="13"/>
      <c r="AL46" s="13"/>
      <c r="AM46" s="13"/>
      <c r="AN46" s="13"/>
      <c r="AO46" s="13"/>
      <c r="AP46" s="13"/>
    </row>
    <row r="47" spans="2:42" x14ac:dyDescent="0.4">
      <c r="B47" s="16">
        <v>44342</v>
      </c>
      <c r="C47" s="15">
        <v>0.79166666666666596</v>
      </c>
      <c r="D47" s="21">
        <v>44342.791666666664</v>
      </c>
      <c r="E47" s="25">
        <v>45</v>
      </c>
      <c r="F47" s="1">
        <v>4</v>
      </c>
      <c r="G47" s="1">
        <f>VLOOKUP(F47,監督フォーメーション!$A$2:$C$10,3,FALSE)</f>
        <v>3142</v>
      </c>
      <c r="H47" s="1">
        <v>1266</v>
      </c>
      <c r="I47" s="1" t="s">
        <v>9</v>
      </c>
      <c r="J47" s="1">
        <v>4321</v>
      </c>
      <c r="K47" s="9">
        <v>0.51</v>
      </c>
      <c r="L47" s="1">
        <v>6</v>
      </c>
      <c r="M47" s="9">
        <v>0.83</v>
      </c>
      <c r="N47" s="1">
        <f t="shared" si="2"/>
        <v>3</v>
      </c>
      <c r="O47" s="1">
        <f t="shared" si="1"/>
        <v>0</v>
      </c>
      <c r="P47" s="1" t="str">
        <f t="shared" si="0"/>
        <v>勝</v>
      </c>
      <c r="Q47" s="8" t="s">
        <v>49</v>
      </c>
      <c r="S47" s="8" t="s">
        <v>49</v>
      </c>
      <c r="U47" s="8" t="s">
        <v>41</v>
      </c>
      <c r="W47" s="8"/>
      <c r="Y47" s="8"/>
      <c r="AA47" s="8"/>
      <c r="AC47" s="8"/>
      <c r="AE47" s="8"/>
      <c r="AG47" s="13"/>
      <c r="AH47" s="13"/>
      <c r="AI47" s="13"/>
      <c r="AJ47" s="13"/>
      <c r="AK47" s="13"/>
      <c r="AL47" s="13"/>
      <c r="AM47" s="13"/>
      <c r="AN47" s="13"/>
      <c r="AO47" s="13"/>
      <c r="AP47" s="13"/>
    </row>
    <row r="48" spans="2:42" x14ac:dyDescent="0.4">
      <c r="B48" s="16">
        <v>44343</v>
      </c>
      <c r="C48" s="15">
        <v>0.83333333333333204</v>
      </c>
      <c r="D48" s="21">
        <v>44343.833333333336</v>
      </c>
      <c r="E48" s="25">
        <v>46</v>
      </c>
      <c r="F48" s="1">
        <v>4</v>
      </c>
      <c r="G48" s="1">
        <f>VLOOKUP(F48,監督フォーメーション!$A$2:$C$10,3,FALSE)</f>
        <v>3142</v>
      </c>
      <c r="H48" s="1">
        <v>1266</v>
      </c>
      <c r="I48" s="1" t="s">
        <v>9</v>
      </c>
      <c r="J48" s="1">
        <v>4213</v>
      </c>
      <c r="K48" s="9">
        <v>0.46</v>
      </c>
      <c r="L48" s="1">
        <v>4</v>
      </c>
      <c r="M48" s="9">
        <v>0.82</v>
      </c>
      <c r="N48" s="1">
        <f t="shared" si="2"/>
        <v>1</v>
      </c>
      <c r="O48" s="1">
        <f t="shared" si="1"/>
        <v>1</v>
      </c>
      <c r="P48" s="1" t="str">
        <f t="shared" si="0"/>
        <v>引</v>
      </c>
      <c r="Q48" s="8" t="s">
        <v>49</v>
      </c>
      <c r="S48" s="8" t="s">
        <v>12</v>
      </c>
      <c r="U48" s="8"/>
      <c r="W48" s="8"/>
      <c r="Y48" s="8"/>
      <c r="AA48" s="8"/>
      <c r="AC48" s="8"/>
      <c r="AE48" s="8"/>
      <c r="AG48" s="13"/>
      <c r="AH48" s="13"/>
      <c r="AI48" s="13"/>
      <c r="AJ48" s="13"/>
      <c r="AK48" s="13"/>
      <c r="AL48" s="13"/>
      <c r="AM48" s="13"/>
      <c r="AN48" s="13"/>
      <c r="AO48" s="13"/>
      <c r="AP48" s="13"/>
    </row>
    <row r="49" spans="2:43" x14ac:dyDescent="0.4">
      <c r="B49" s="16">
        <v>44344</v>
      </c>
      <c r="C49" s="15">
        <v>0.874999999999999</v>
      </c>
      <c r="D49" s="21">
        <v>44344.875</v>
      </c>
      <c r="E49" s="25">
        <v>47</v>
      </c>
      <c r="F49" s="1">
        <v>4</v>
      </c>
      <c r="G49" s="1">
        <f>VLOOKUP(F49,監督フォーメーション!$A$2:$C$10,3,FALSE)</f>
        <v>3142</v>
      </c>
      <c r="H49" s="1">
        <v>1266</v>
      </c>
      <c r="I49" s="1">
        <v>1305</v>
      </c>
      <c r="J49" s="1">
        <v>3223</v>
      </c>
      <c r="K49" s="9">
        <v>0.5</v>
      </c>
      <c r="L49" s="1">
        <v>6</v>
      </c>
      <c r="M49" s="9">
        <v>0.84</v>
      </c>
      <c r="N49" s="1">
        <f t="shared" si="2"/>
        <v>2</v>
      </c>
      <c r="O49" s="1">
        <f t="shared" si="1"/>
        <v>3</v>
      </c>
      <c r="P49" s="1" t="str">
        <f t="shared" si="0"/>
        <v>負</v>
      </c>
      <c r="Q49" s="8" t="s">
        <v>12</v>
      </c>
      <c r="S49" s="8" t="s">
        <v>42</v>
      </c>
      <c r="U49" s="8" t="s">
        <v>12</v>
      </c>
      <c r="W49" s="8" t="s">
        <v>12</v>
      </c>
      <c r="Y49" s="8" t="s">
        <v>57</v>
      </c>
      <c r="AA49" s="8"/>
      <c r="AC49" s="8"/>
      <c r="AE49" s="8"/>
      <c r="AG49" s="13"/>
      <c r="AH49" s="13"/>
      <c r="AI49" s="13"/>
      <c r="AJ49" s="13"/>
      <c r="AK49" s="13"/>
      <c r="AL49" s="13"/>
      <c r="AM49" s="13"/>
      <c r="AN49" s="13"/>
      <c r="AO49" s="13"/>
      <c r="AP49" s="13"/>
    </row>
    <row r="50" spans="2:43" x14ac:dyDescent="0.4">
      <c r="B50" s="16">
        <v>44345</v>
      </c>
      <c r="C50" s="15">
        <v>0.91666666666666596</v>
      </c>
      <c r="D50" s="21">
        <v>44345.916666666664</v>
      </c>
      <c r="E50" s="25">
        <v>48</v>
      </c>
      <c r="F50" s="1">
        <v>4</v>
      </c>
      <c r="G50" s="1">
        <f>VLOOKUP(F50,監督フォーメーション!$A$2:$C$10,3,FALSE)</f>
        <v>3142</v>
      </c>
      <c r="H50" s="1">
        <v>1256</v>
      </c>
      <c r="I50" s="1">
        <v>1360</v>
      </c>
      <c r="J50" s="1">
        <v>4312</v>
      </c>
      <c r="K50" s="9" t="s">
        <v>13</v>
      </c>
      <c r="L50" s="1" t="s">
        <v>13</v>
      </c>
      <c r="M50" s="9" t="s">
        <v>13</v>
      </c>
      <c r="N50" s="1">
        <f t="shared" si="2"/>
        <v>3</v>
      </c>
      <c r="O50" s="1">
        <f t="shared" si="1"/>
        <v>1</v>
      </c>
      <c r="P50" s="1" t="str">
        <f t="shared" si="0"/>
        <v>勝</v>
      </c>
      <c r="Q50" s="8" t="s">
        <v>49</v>
      </c>
      <c r="S50" s="8" t="s">
        <v>44</v>
      </c>
      <c r="U50" s="8" t="s">
        <v>12</v>
      </c>
      <c r="W50" s="8" t="s">
        <v>57</v>
      </c>
      <c r="Y50" s="8"/>
      <c r="AA50" s="8"/>
      <c r="AC50" s="8"/>
      <c r="AE50" s="8"/>
      <c r="AG50" s="13"/>
      <c r="AH50" s="13"/>
      <c r="AI50" s="13"/>
      <c r="AJ50" s="13"/>
      <c r="AK50" s="13"/>
      <c r="AL50" s="13"/>
      <c r="AM50" s="13"/>
      <c r="AN50" s="13"/>
      <c r="AO50" s="13"/>
      <c r="AP50" s="13"/>
    </row>
    <row r="51" spans="2:43" x14ac:dyDescent="0.4">
      <c r="B51" s="16">
        <v>44346</v>
      </c>
      <c r="C51" s="15">
        <v>0.95833333333333204</v>
      </c>
      <c r="D51" s="21">
        <v>44346.958333333336</v>
      </c>
      <c r="E51" s="25">
        <v>49</v>
      </c>
      <c r="F51" s="1">
        <v>4</v>
      </c>
      <c r="G51" s="1">
        <f>VLOOKUP(F51,監督フォーメーション!$A$2:$C$10,3,FALSE)</f>
        <v>3142</v>
      </c>
      <c r="H51" s="1">
        <v>1271</v>
      </c>
      <c r="I51" s="1">
        <v>1215</v>
      </c>
      <c r="J51" s="1">
        <v>4213</v>
      </c>
      <c r="K51" s="9">
        <v>0.51</v>
      </c>
      <c r="L51" s="1">
        <v>5</v>
      </c>
      <c r="M51" s="9">
        <v>0.8</v>
      </c>
      <c r="N51" s="1">
        <f t="shared" si="2"/>
        <v>2</v>
      </c>
      <c r="O51" s="1">
        <f t="shared" si="1"/>
        <v>4</v>
      </c>
      <c r="P51" s="1" t="str">
        <f t="shared" si="0"/>
        <v>負</v>
      </c>
      <c r="Q51" s="8" t="s">
        <v>12</v>
      </c>
      <c r="S51" s="8" t="s">
        <v>12</v>
      </c>
      <c r="U51" s="8" t="s">
        <v>42</v>
      </c>
      <c r="W51" s="8" t="s">
        <v>12</v>
      </c>
      <c r="Y51" s="8" t="s">
        <v>12</v>
      </c>
      <c r="AA51" s="8" t="s">
        <v>44</v>
      </c>
      <c r="AC51" s="8"/>
      <c r="AE51" s="8"/>
      <c r="AG51" s="13"/>
      <c r="AH51" s="13"/>
      <c r="AI51" s="13"/>
      <c r="AJ51" s="13"/>
      <c r="AK51" s="13"/>
      <c r="AL51" s="13"/>
      <c r="AM51" s="13"/>
      <c r="AN51" s="13"/>
      <c r="AO51" s="13"/>
      <c r="AP51" s="13"/>
    </row>
    <row r="52" spans="2:43" x14ac:dyDescent="0.4">
      <c r="B52" s="16">
        <v>44347</v>
      </c>
      <c r="C52" s="15">
        <v>0.999999999999999</v>
      </c>
      <c r="D52" s="21">
        <v>44348</v>
      </c>
      <c r="E52" s="25">
        <v>50</v>
      </c>
      <c r="F52" s="1">
        <v>4</v>
      </c>
      <c r="G52" s="1">
        <f>VLOOKUP(F52,監督フォーメーション!$A$2:$C$10,3,FALSE)</f>
        <v>3142</v>
      </c>
      <c r="H52" s="1">
        <v>1259</v>
      </c>
      <c r="I52" s="1">
        <v>1386</v>
      </c>
      <c r="J52" s="1">
        <v>3313</v>
      </c>
      <c r="K52" s="9">
        <v>0.55000000000000004</v>
      </c>
      <c r="L52" s="1">
        <v>5</v>
      </c>
      <c r="M52" s="9">
        <v>0.84</v>
      </c>
      <c r="N52" s="1">
        <f t="shared" si="2"/>
        <v>2</v>
      </c>
      <c r="O52" s="1">
        <f t="shared" si="1"/>
        <v>5</v>
      </c>
      <c r="P52" s="1" t="str">
        <f t="shared" si="0"/>
        <v>負</v>
      </c>
      <c r="Q52" s="8" t="s">
        <v>42</v>
      </c>
      <c r="S52" s="8" t="s">
        <v>12</v>
      </c>
      <c r="U52" s="8" t="s">
        <v>41</v>
      </c>
      <c r="W52" s="8" t="s">
        <v>12</v>
      </c>
      <c r="Y52" s="8" t="s">
        <v>12</v>
      </c>
      <c r="AA52" s="8" t="s">
        <v>12</v>
      </c>
      <c r="AC52" s="8" t="s">
        <v>12</v>
      </c>
      <c r="AE52" s="8"/>
      <c r="AG52" s="13"/>
      <c r="AH52" s="13"/>
      <c r="AI52" s="13"/>
      <c r="AJ52" s="13"/>
      <c r="AK52" s="13"/>
      <c r="AL52" s="13"/>
      <c r="AM52" s="13"/>
      <c r="AN52" s="13"/>
      <c r="AO52" s="13"/>
      <c r="AP52" s="13"/>
    </row>
    <row r="53" spans="2:43" x14ac:dyDescent="0.4">
      <c r="B53" s="16">
        <v>44348</v>
      </c>
      <c r="C53" s="15">
        <v>4.16666666666657E-2</v>
      </c>
      <c r="D53" s="21">
        <v>44348.041666666664</v>
      </c>
      <c r="E53" s="25">
        <v>51</v>
      </c>
      <c r="F53" s="1">
        <v>4</v>
      </c>
      <c r="G53" s="1">
        <f>VLOOKUP(F53,監督フォーメーション!$A$2:$C$10,3,FALSE)</f>
        <v>3142</v>
      </c>
      <c r="H53" s="1">
        <v>1252</v>
      </c>
      <c r="I53" s="1">
        <v>1430</v>
      </c>
      <c r="J53" s="1">
        <v>4312</v>
      </c>
      <c r="K53" s="9" t="s">
        <v>13</v>
      </c>
      <c r="L53" s="1" t="s">
        <v>13</v>
      </c>
      <c r="M53" s="9" t="s">
        <v>13</v>
      </c>
      <c r="N53" s="1">
        <f t="shared" si="2"/>
        <v>3</v>
      </c>
      <c r="O53" s="1">
        <f t="shared" si="1"/>
        <v>0</v>
      </c>
      <c r="P53" s="1" t="str">
        <f t="shared" si="0"/>
        <v>勝</v>
      </c>
      <c r="Q53" s="8" t="s">
        <v>42</v>
      </c>
      <c r="S53" s="8" t="s">
        <v>42</v>
      </c>
      <c r="U53" s="8" t="s">
        <v>42</v>
      </c>
      <c r="W53" s="8"/>
      <c r="Y53" s="8"/>
      <c r="AA53" s="8"/>
      <c r="AC53" s="8"/>
      <c r="AE53" s="8"/>
      <c r="AG53" s="13"/>
      <c r="AH53" s="13"/>
      <c r="AI53" s="13"/>
      <c r="AJ53" s="13"/>
      <c r="AK53" s="13"/>
      <c r="AL53" s="13"/>
      <c r="AM53" s="13"/>
      <c r="AN53" s="13"/>
      <c r="AO53" s="13"/>
      <c r="AP53" s="13"/>
    </row>
    <row r="54" spans="2:43" x14ac:dyDescent="0.4">
      <c r="B54" s="16">
        <v>44349</v>
      </c>
      <c r="C54" s="15">
        <v>8.3333333333332302E-2</v>
      </c>
      <c r="D54" s="21">
        <v>44349.083333333336</v>
      </c>
      <c r="E54" s="25">
        <v>52</v>
      </c>
      <c r="F54" s="1">
        <v>4</v>
      </c>
      <c r="G54" s="1">
        <f>VLOOKUP(F54,監督フォーメーション!$A$2:$C$10,3,FALSE)</f>
        <v>3142</v>
      </c>
      <c r="H54" s="1">
        <v>1269</v>
      </c>
      <c r="I54" s="1">
        <v>1213</v>
      </c>
      <c r="J54" s="1">
        <v>5212</v>
      </c>
      <c r="K54" s="9">
        <v>0.54</v>
      </c>
      <c r="L54" s="1">
        <v>5</v>
      </c>
      <c r="M54" s="9">
        <v>0.86</v>
      </c>
      <c r="N54" s="1">
        <f t="shared" si="2"/>
        <v>4</v>
      </c>
      <c r="O54" s="1">
        <f t="shared" si="1"/>
        <v>4</v>
      </c>
      <c r="P54" s="1" t="str">
        <f t="shared" si="0"/>
        <v>引</v>
      </c>
      <c r="Q54" s="8" t="s">
        <v>47</v>
      </c>
      <c r="S54" s="8" t="s">
        <v>12</v>
      </c>
      <c r="U54" s="8" t="s">
        <v>12</v>
      </c>
      <c r="W54" s="8" t="s">
        <v>42</v>
      </c>
      <c r="Y54" s="8" t="s">
        <v>12</v>
      </c>
      <c r="AA54" s="8" t="s">
        <v>12</v>
      </c>
      <c r="AC54" s="8" t="s">
        <v>41</v>
      </c>
      <c r="AE54" s="8" t="s">
        <v>49</v>
      </c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14"/>
    </row>
    <row r="55" spans="2:43" x14ac:dyDescent="0.4">
      <c r="B55" s="16">
        <v>44350</v>
      </c>
      <c r="C55" s="15">
        <v>0.124999999999999</v>
      </c>
      <c r="D55" s="21">
        <v>44350.125</v>
      </c>
      <c r="E55" s="25">
        <v>53</v>
      </c>
      <c r="F55" s="1">
        <v>4</v>
      </c>
      <c r="G55" s="1">
        <f>VLOOKUP(F55,監督フォーメーション!$A$2:$C$10,3,FALSE)</f>
        <v>3142</v>
      </c>
      <c r="H55" s="1">
        <v>1260</v>
      </c>
      <c r="I55" s="1">
        <v>1285</v>
      </c>
      <c r="J55" s="1">
        <v>3322</v>
      </c>
      <c r="K55" s="9" t="s">
        <v>13</v>
      </c>
      <c r="L55" s="9" t="s">
        <v>13</v>
      </c>
      <c r="M55" s="9" t="s">
        <v>13</v>
      </c>
      <c r="N55" s="1">
        <f t="shared" si="2"/>
        <v>3</v>
      </c>
      <c r="O55" s="1">
        <f t="shared" si="1"/>
        <v>0</v>
      </c>
      <c r="P55" s="1" t="str">
        <f t="shared" si="0"/>
        <v>勝</v>
      </c>
      <c r="Q55" s="8" t="s">
        <v>43</v>
      </c>
      <c r="S55" s="8" t="s">
        <v>42</v>
      </c>
      <c r="U55" s="8" t="s">
        <v>42</v>
      </c>
      <c r="W55" s="8"/>
      <c r="Y55" s="8"/>
      <c r="AA55" s="8"/>
      <c r="AC55" s="8"/>
      <c r="AE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14"/>
    </row>
    <row r="56" spans="2:43" x14ac:dyDescent="0.4">
      <c r="B56" s="16">
        <v>44351</v>
      </c>
      <c r="C56" s="15">
        <v>0.16666666666666599</v>
      </c>
      <c r="D56" s="21">
        <v>44351.166666666664</v>
      </c>
      <c r="E56" s="25">
        <v>54</v>
      </c>
      <c r="F56" s="1">
        <v>4</v>
      </c>
      <c r="G56" s="1">
        <f>VLOOKUP(F56,監督フォーメーション!$A$2:$C$10,3,FALSE)</f>
        <v>3142</v>
      </c>
      <c r="H56" s="1">
        <v>1272</v>
      </c>
      <c r="I56" s="1">
        <v>1173</v>
      </c>
      <c r="J56" s="1">
        <v>433</v>
      </c>
      <c r="K56" s="9" t="s">
        <v>13</v>
      </c>
      <c r="L56" s="9" t="s">
        <v>13</v>
      </c>
      <c r="M56" s="9" t="s">
        <v>13</v>
      </c>
      <c r="N56" s="1">
        <f t="shared" si="2"/>
        <v>2</v>
      </c>
      <c r="O56" s="1">
        <f t="shared" si="1"/>
        <v>0</v>
      </c>
      <c r="P56" s="1" t="str">
        <f t="shared" si="0"/>
        <v>勝</v>
      </c>
      <c r="Q56" s="8" t="s">
        <v>42</v>
      </c>
      <c r="S56" s="8" t="s">
        <v>42</v>
      </c>
      <c r="U56" s="8"/>
      <c r="W56" s="8"/>
      <c r="Y56" s="8"/>
      <c r="AA56" s="8"/>
      <c r="AC56" s="8"/>
      <c r="AE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14"/>
    </row>
    <row r="57" spans="2:43" x14ac:dyDescent="0.4">
      <c r="B57" s="16">
        <v>44352</v>
      </c>
      <c r="C57" s="15">
        <v>0.20833333333333201</v>
      </c>
      <c r="D57" s="21">
        <v>44352.208333333336</v>
      </c>
      <c r="E57" s="25">
        <v>55</v>
      </c>
      <c r="F57" s="1">
        <v>4</v>
      </c>
      <c r="G57" s="1">
        <f>VLOOKUP(F57,監督フォーメーション!$A$2:$C$10,3,FALSE)</f>
        <v>3142</v>
      </c>
      <c r="H57" s="1">
        <v>1281</v>
      </c>
      <c r="I57" s="1">
        <v>1074</v>
      </c>
      <c r="J57" s="1">
        <v>4123</v>
      </c>
      <c r="K57" s="9">
        <v>0.54</v>
      </c>
      <c r="L57" s="1">
        <v>5</v>
      </c>
      <c r="M57" s="9">
        <v>0.78</v>
      </c>
      <c r="N57" s="1">
        <f t="shared" si="2"/>
        <v>1</v>
      </c>
      <c r="O57" s="1">
        <f t="shared" si="1"/>
        <v>0</v>
      </c>
      <c r="P57" s="1" t="str">
        <f t="shared" si="0"/>
        <v>勝</v>
      </c>
      <c r="Q57" s="8" t="s">
        <v>44</v>
      </c>
      <c r="S57" s="8"/>
      <c r="U57" s="8"/>
      <c r="W57" s="8"/>
      <c r="Y57" s="8"/>
      <c r="AA57" s="8"/>
      <c r="AC57" s="8"/>
      <c r="AE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14"/>
    </row>
    <row r="58" spans="2:43" x14ac:dyDescent="0.4">
      <c r="B58" s="16">
        <v>44353.958333333336</v>
      </c>
      <c r="C58" s="15">
        <v>0.249999999999999</v>
      </c>
      <c r="D58" s="21">
        <v>44354.208333333336</v>
      </c>
      <c r="E58" s="25">
        <v>56</v>
      </c>
      <c r="F58" s="1">
        <v>4</v>
      </c>
      <c r="G58" s="1">
        <f>VLOOKUP(F58,監督フォーメーション!$A$2:$C$10,3,FALSE)</f>
        <v>3142</v>
      </c>
      <c r="H58" s="1">
        <v>1281</v>
      </c>
      <c r="I58" s="1" t="s">
        <v>9</v>
      </c>
      <c r="J58" s="1">
        <v>4222</v>
      </c>
      <c r="K58" s="9">
        <v>0.54</v>
      </c>
      <c r="L58" s="1">
        <v>5</v>
      </c>
      <c r="M58" s="9">
        <v>0.81</v>
      </c>
      <c r="N58" s="1">
        <f t="shared" si="2"/>
        <v>1</v>
      </c>
      <c r="O58" s="1">
        <f t="shared" si="1"/>
        <v>0</v>
      </c>
      <c r="P58" s="1" t="str">
        <f t="shared" si="0"/>
        <v>勝</v>
      </c>
      <c r="Q58" s="8" t="s">
        <v>41</v>
      </c>
      <c r="S58" s="8"/>
      <c r="U58" s="8"/>
      <c r="W58" s="8"/>
      <c r="Y58" s="8"/>
      <c r="AA58" s="8"/>
      <c r="AC58" s="8"/>
      <c r="AE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14"/>
    </row>
    <row r="59" spans="2:43" x14ac:dyDescent="0.4">
      <c r="B59" s="16">
        <v>44353.958333333336</v>
      </c>
      <c r="C59" s="15">
        <v>0.29166666666666602</v>
      </c>
      <c r="D59" s="21">
        <v>44354.25</v>
      </c>
      <c r="E59" s="25">
        <v>57</v>
      </c>
      <c r="F59" s="1">
        <v>4</v>
      </c>
      <c r="G59" s="1">
        <f>VLOOKUP(F59,監督フォーメーション!$A$2:$C$10,3,FALSE)</f>
        <v>3142</v>
      </c>
      <c r="H59" s="1">
        <v>1281</v>
      </c>
      <c r="I59" s="1" t="s">
        <v>9</v>
      </c>
      <c r="J59" s="1">
        <v>4222</v>
      </c>
      <c r="K59" s="9">
        <v>0.49</v>
      </c>
      <c r="L59" s="1">
        <v>7</v>
      </c>
      <c r="M59" s="9">
        <v>0.88</v>
      </c>
      <c r="N59" s="1">
        <f t="shared" si="2"/>
        <v>3</v>
      </c>
      <c r="O59" s="1">
        <f t="shared" si="1"/>
        <v>1</v>
      </c>
      <c r="P59" s="1" t="str">
        <f t="shared" si="0"/>
        <v>勝</v>
      </c>
      <c r="Q59" s="8" t="s">
        <v>43</v>
      </c>
      <c r="S59" s="8" t="s">
        <v>54</v>
      </c>
      <c r="U59" s="8" t="s">
        <v>41</v>
      </c>
      <c r="W59" s="8" t="s">
        <v>12</v>
      </c>
      <c r="Y59" s="8"/>
      <c r="AA59" s="8"/>
      <c r="AC59" s="8"/>
      <c r="AE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14"/>
    </row>
    <row r="60" spans="2:43" x14ac:dyDescent="0.4">
      <c r="B60" s="16">
        <v>44353.958333333336</v>
      </c>
      <c r="C60" s="15">
        <v>0.33333333333333298</v>
      </c>
      <c r="D60" s="21">
        <v>44354.291666666672</v>
      </c>
      <c r="E60" s="25">
        <v>58</v>
      </c>
      <c r="F60" s="1">
        <v>4</v>
      </c>
      <c r="G60" s="1">
        <f>VLOOKUP(F60,監督フォーメーション!$A$2:$C$10,3,FALSE)</f>
        <v>3142</v>
      </c>
      <c r="H60" s="1">
        <v>1281</v>
      </c>
      <c r="I60" s="1">
        <v>1288</v>
      </c>
      <c r="J60" s="1">
        <v>4222</v>
      </c>
      <c r="K60" s="9">
        <v>0.59</v>
      </c>
      <c r="L60" s="1">
        <v>8</v>
      </c>
      <c r="M60" s="9">
        <v>0.88</v>
      </c>
      <c r="N60" s="1">
        <f t="shared" si="2"/>
        <v>2</v>
      </c>
      <c r="O60" s="1">
        <f t="shared" si="1"/>
        <v>0</v>
      </c>
      <c r="P60" s="1" t="str">
        <f t="shared" si="0"/>
        <v>勝</v>
      </c>
      <c r="Q60" s="8" t="s">
        <v>41</v>
      </c>
      <c r="S60" s="8" t="s">
        <v>43</v>
      </c>
      <c r="U60" s="8"/>
      <c r="W60" s="8"/>
      <c r="Y60" s="8"/>
      <c r="AA60" s="8"/>
      <c r="AC60" s="8"/>
      <c r="AE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14"/>
    </row>
    <row r="61" spans="2:43" x14ac:dyDescent="0.4">
      <c r="B61" s="16">
        <v>44353.958333333336</v>
      </c>
      <c r="C61" s="15">
        <v>0.374999999999999</v>
      </c>
      <c r="D61" s="21">
        <v>44354.333333333336</v>
      </c>
      <c r="E61" s="25">
        <v>59</v>
      </c>
      <c r="F61" s="1">
        <v>4</v>
      </c>
      <c r="G61" s="1">
        <f>VLOOKUP(F61,監督フォーメーション!$A$2:$C$10,3,FALSE)</f>
        <v>3142</v>
      </c>
      <c r="H61" s="1">
        <v>1293</v>
      </c>
      <c r="I61" s="1">
        <v>1300</v>
      </c>
      <c r="J61" s="1">
        <v>4222</v>
      </c>
      <c r="K61" s="9">
        <v>0.56999999999999995</v>
      </c>
      <c r="L61" s="1">
        <v>8</v>
      </c>
      <c r="M61" s="9">
        <v>0.83</v>
      </c>
      <c r="N61" s="1">
        <f t="shared" si="2"/>
        <v>1</v>
      </c>
      <c r="O61" s="1">
        <f t="shared" si="1"/>
        <v>3</v>
      </c>
      <c r="P61" s="1" t="str">
        <f t="shared" si="0"/>
        <v>負</v>
      </c>
      <c r="Q61" s="8" t="s">
        <v>42</v>
      </c>
      <c r="S61" s="8" t="s">
        <v>12</v>
      </c>
      <c r="U61" s="8" t="s">
        <v>12</v>
      </c>
      <c r="W61" s="8" t="s">
        <v>12</v>
      </c>
      <c r="Y61" s="8"/>
      <c r="AA61" s="8"/>
      <c r="AC61" s="8"/>
      <c r="AE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14"/>
    </row>
    <row r="62" spans="2:43" x14ac:dyDescent="0.4">
      <c r="B62" s="16">
        <v>44353.958333333336</v>
      </c>
      <c r="C62" s="15">
        <v>0.41666666666666602</v>
      </c>
      <c r="D62" s="21">
        <v>44354.375</v>
      </c>
      <c r="E62" s="25">
        <v>60</v>
      </c>
      <c r="F62" s="1">
        <v>4</v>
      </c>
      <c r="G62" s="1">
        <f>VLOOKUP(F62,監督フォーメーション!$A$2:$C$10,3,FALSE)</f>
        <v>3142</v>
      </c>
      <c r="H62" s="1">
        <v>1283</v>
      </c>
      <c r="I62" s="1">
        <v>1200</v>
      </c>
      <c r="J62" s="1">
        <v>433</v>
      </c>
      <c r="K62" s="9" t="s">
        <v>13</v>
      </c>
      <c r="L62" s="1" t="s">
        <v>13</v>
      </c>
      <c r="M62" s="9" t="s">
        <v>13</v>
      </c>
      <c r="N62" s="1">
        <f t="shared" si="2"/>
        <v>2</v>
      </c>
      <c r="O62" s="1">
        <f t="shared" si="1"/>
        <v>0</v>
      </c>
      <c r="P62" s="1" t="str">
        <f t="shared" si="0"/>
        <v>勝</v>
      </c>
      <c r="Q62" s="8" t="s">
        <v>42</v>
      </c>
      <c r="S62" s="8" t="s">
        <v>42</v>
      </c>
      <c r="U62" s="8"/>
      <c r="W62" s="8"/>
      <c r="Y62" s="8"/>
      <c r="AA62" s="8"/>
      <c r="AC62" s="8"/>
      <c r="AE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14"/>
    </row>
    <row r="63" spans="2:43" x14ac:dyDescent="0.4">
      <c r="B63" s="16">
        <v>44353.958333333336</v>
      </c>
      <c r="C63" s="15">
        <v>0.45833333333333298</v>
      </c>
      <c r="D63" s="21">
        <v>44354.416666666672</v>
      </c>
      <c r="E63" s="25">
        <v>61</v>
      </c>
      <c r="F63" s="1">
        <v>4</v>
      </c>
      <c r="G63" s="1">
        <f>VLOOKUP(F63,監督フォーメーション!$A$2:$C$10,3,FALSE)</f>
        <v>3142</v>
      </c>
      <c r="H63" s="1">
        <v>1290</v>
      </c>
      <c r="I63" s="1">
        <v>1434</v>
      </c>
      <c r="J63" s="1">
        <v>433</v>
      </c>
      <c r="K63" s="9">
        <v>0.55000000000000004</v>
      </c>
      <c r="L63" s="1">
        <v>2</v>
      </c>
      <c r="M63" s="9">
        <v>0.85</v>
      </c>
      <c r="N63" s="1">
        <f t="shared" si="2"/>
        <v>1</v>
      </c>
      <c r="O63" s="1">
        <f t="shared" si="1"/>
        <v>1</v>
      </c>
      <c r="P63" s="1" t="str">
        <f t="shared" si="0"/>
        <v>引</v>
      </c>
      <c r="Q63" s="8" t="s">
        <v>42</v>
      </c>
      <c r="S63" s="8" t="s">
        <v>12</v>
      </c>
      <c r="U63" s="8"/>
      <c r="W63" s="8"/>
      <c r="Y63" s="8"/>
      <c r="AA63" s="8"/>
      <c r="AC63" s="8"/>
      <c r="AE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14"/>
    </row>
    <row r="64" spans="2:43" x14ac:dyDescent="0.4">
      <c r="B64" s="16">
        <v>44353.958333333336</v>
      </c>
      <c r="C64" s="15">
        <v>0.5</v>
      </c>
      <c r="D64" s="21">
        <v>44354.458333333336</v>
      </c>
      <c r="E64" s="25">
        <v>62</v>
      </c>
      <c r="F64" s="1">
        <v>4</v>
      </c>
      <c r="G64" s="1">
        <f>VLOOKUP(F64,監督フォーメーション!$A$2:$C$10,3,FALSE)</f>
        <v>3142</v>
      </c>
      <c r="H64" s="1">
        <v>1295</v>
      </c>
      <c r="I64" s="1">
        <v>1242</v>
      </c>
      <c r="J64" s="1">
        <v>4213</v>
      </c>
      <c r="K64" s="9">
        <v>0.51</v>
      </c>
      <c r="L64" s="1">
        <v>3</v>
      </c>
      <c r="M64" s="9">
        <v>0.8</v>
      </c>
      <c r="N64" s="1">
        <f t="shared" si="2"/>
        <v>0</v>
      </c>
      <c r="O64" s="1">
        <f t="shared" si="1"/>
        <v>4</v>
      </c>
      <c r="P64" s="1" t="str">
        <f t="shared" si="0"/>
        <v>負</v>
      </c>
      <c r="Q64" s="8" t="s">
        <v>12</v>
      </c>
      <c r="S64" s="8" t="s">
        <v>12</v>
      </c>
      <c r="U64" s="8" t="s">
        <v>12</v>
      </c>
      <c r="W64" s="8" t="s">
        <v>12</v>
      </c>
      <c r="Y64" s="8"/>
      <c r="AA64" s="8"/>
      <c r="AC64" s="8"/>
      <c r="AE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14"/>
    </row>
    <row r="65" spans="2:43" x14ac:dyDescent="0.4">
      <c r="B65" s="16">
        <v>44353.958333333336</v>
      </c>
      <c r="C65" s="15">
        <v>0.54166666666666596</v>
      </c>
      <c r="D65" s="21">
        <v>44354.5</v>
      </c>
      <c r="E65" s="25">
        <v>63</v>
      </c>
      <c r="F65" s="1">
        <v>4</v>
      </c>
      <c r="G65" s="1">
        <f>VLOOKUP(F65,監督フォーメーション!$A$2:$C$10,3,FALSE)</f>
        <v>3142</v>
      </c>
      <c r="H65" s="1">
        <v>1283</v>
      </c>
      <c r="I65" s="1">
        <v>1300</v>
      </c>
      <c r="J65" s="1">
        <v>4231</v>
      </c>
      <c r="K65" s="9">
        <v>0.56000000000000005</v>
      </c>
      <c r="L65" s="1">
        <v>4</v>
      </c>
      <c r="M65" s="9">
        <v>0.81</v>
      </c>
      <c r="N65" s="1">
        <f t="shared" si="2"/>
        <v>1</v>
      </c>
      <c r="O65" s="1">
        <f t="shared" si="1"/>
        <v>1</v>
      </c>
      <c r="P65" s="1" t="str">
        <f t="shared" si="0"/>
        <v>引</v>
      </c>
      <c r="Q65" s="8" t="s">
        <v>12</v>
      </c>
      <c r="S65" s="8" t="s">
        <v>41</v>
      </c>
      <c r="U65" s="8"/>
      <c r="W65" s="8"/>
      <c r="Y65" s="8"/>
      <c r="AA65" s="8"/>
      <c r="AC65" s="8"/>
      <c r="AE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14"/>
    </row>
    <row r="66" spans="2:43" x14ac:dyDescent="0.4">
      <c r="B66" s="16">
        <v>44353.958333333336</v>
      </c>
      <c r="C66" s="15">
        <v>0.58333333333333304</v>
      </c>
      <c r="D66" s="21">
        <v>44354.541666666672</v>
      </c>
      <c r="E66" s="25">
        <v>64</v>
      </c>
      <c r="F66" s="1">
        <v>4</v>
      </c>
      <c r="G66" s="1">
        <f>VLOOKUP(F66,監督フォーメーション!$A$2:$C$10,3,FALSE)</f>
        <v>3142</v>
      </c>
      <c r="H66" s="1">
        <v>1281</v>
      </c>
      <c r="I66" s="1">
        <v>1420</v>
      </c>
      <c r="J66" s="1">
        <v>5212</v>
      </c>
      <c r="K66" s="9" t="s">
        <v>13</v>
      </c>
      <c r="L66" s="1" t="s">
        <v>13</v>
      </c>
      <c r="M66" s="9" t="s">
        <v>13</v>
      </c>
      <c r="N66" s="1">
        <f t="shared" si="2"/>
        <v>1</v>
      </c>
      <c r="O66" s="1">
        <f t="shared" si="1"/>
        <v>0</v>
      </c>
      <c r="P66" s="1" t="str">
        <f t="shared" si="0"/>
        <v>勝</v>
      </c>
      <c r="Q66" s="8" t="s">
        <v>13</v>
      </c>
      <c r="S66" s="8"/>
      <c r="U66" s="8"/>
      <c r="W66" s="8"/>
      <c r="Y66" s="8"/>
      <c r="AA66" s="8"/>
      <c r="AC66" s="8"/>
      <c r="AE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14"/>
    </row>
    <row r="67" spans="2:43" x14ac:dyDescent="0.4">
      <c r="B67" s="16">
        <v>44353.958333333336</v>
      </c>
      <c r="C67" s="15">
        <v>0.625</v>
      </c>
      <c r="D67" s="21">
        <v>44354.583333333336</v>
      </c>
      <c r="E67" s="25">
        <v>65</v>
      </c>
      <c r="F67" s="1">
        <v>4</v>
      </c>
      <c r="G67" s="1">
        <f>VLOOKUP(F67,監督フォーメーション!$A$2:$C$10,3,FALSE)</f>
        <v>3142</v>
      </c>
      <c r="H67" s="1">
        <v>1297</v>
      </c>
      <c r="I67" s="1">
        <v>1250</v>
      </c>
      <c r="J67" s="1">
        <v>442</v>
      </c>
      <c r="K67" s="9">
        <v>0.57999999999999996</v>
      </c>
      <c r="L67" s="1">
        <v>6</v>
      </c>
      <c r="M67" s="9">
        <v>0.85</v>
      </c>
      <c r="N67" s="1">
        <f t="shared" si="2"/>
        <v>2</v>
      </c>
      <c r="O67" s="1">
        <f t="shared" si="1"/>
        <v>1</v>
      </c>
      <c r="P67" s="1" t="str">
        <f t="shared" ref="P67:P130" si="3">IF(N67-O67&gt;0,"勝",IF(N67-O67&lt;0,"負","引"))</f>
        <v>勝</v>
      </c>
      <c r="Q67" s="8" t="s">
        <v>12</v>
      </c>
      <c r="S67" s="8" t="s">
        <v>41</v>
      </c>
      <c r="U67" s="8" t="s">
        <v>58</v>
      </c>
      <c r="W67" s="8"/>
      <c r="Y67" s="8"/>
      <c r="AA67" s="8"/>
      <c r="AC67" s="8"/>
      <c r="AE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14"/>
    </row>
    <row r="68" spans="2:43" x14ac:dyDescent="0.4">
      <c r="B68" s="16">
        <v>44353.958333333336</v>
      </c>
      <c r="C68" s="15">
        <v>0.66666666666666696</v>
      </c>
      <c r="D68" s="21">
        <v>44354.625</v>
      </c>
      <c r="E68" s="25">
        <v>66</v>
      </c>
      <c r="F68" s="1">
        <v>4</v>
      </c>
      <c r="G68" s="1">
        <f>VLOOKUP(F68,監督フォーメーション!$A$2:$C$10,3,FALSE)</f>
        <v>3142</v>
      </c>
      <c r="H68" s="1">
        <v>1302</v>
      </c>
      <c r="I68" s="1">
        <v>1280</v>
      </c>
      <c r="J68" s="1">
        <v>523</v>
      </c>
      <c r="K68" s="9">
        <v>0.52</v>
      </c>
      <c r="L68" s="1">
        <v>3</v>
      </c>
      <c r="M68" s="9">
        <v>0.82</v>
      </c>
      <c r="N68" s="1">
        <f t="shared" si="2"/>
        <v>1</v>
      </c>
      <c r="O68" s="1">
        <f t="shared" si="1"/>
        <v>2</v>
      </c>
      <c r="P68" s="1" t="str">
        <f t="shared" si="3"/>
        <v>負</v>
      </c>
      <c r="Q68" s="8" t="s">
        <v>12</v>
      </c>
      <c r="S68" s="8" t="s">
        <v>43</v>
      </c>
      <c r="U68" s="8" t="s">
        <v>12</v>
      </c>
      <c r="W68" s="8"/>
      <c r="Y68" s="8"/>
      <c r="AA68" s="8"/>
      <c r="AC68" s="8"/>
      <c r="AE68" s="8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</row>
    <row r="69" spans="2:43" x14ac:dyDescent="0.4">
      <c r="B69" s="16">
        <v>44353.958333333336</v>
      </c>
      <c r="C69" s="15">
        <v>0.70833333333333304</v>
      </c>
      <c r="D69" s="21">
        <v>44354.666666666672</v>
      </c>
      <c r="E69" s="25">
        <v>67</v>
      </c>
      <c r="F69" s="1">
        <v>4</v>
      </c>
      <c r="G69" s="1">
        <f>VLOOKUP(F69,監督フォーメーション!$A$2:$C$10,3,FALSE)</f>
        <v>3142</v>
      </c>
      <c r="H69" s="1">
        <v>1289</v>
      </c>
      <c r="I69" s="1">
        <v>1290</v>
      </c>
      <c r="J69" s="1">
        <v>4312</v>
      </c>
      <c r="K69" s="9">
        <v>0.57999999999999996</v>
      </c>
      <c r="L69" s="1">
        <v>8</v>
      </c>
      <c r="M69" s="9">
        <v>0.82</v>
      </c>
      <c r="N69" s="1">
        <f t="shared" si="2"/>
        <v>2</v>
      </c>
      <c r="O69" s="1">
        <f t="shared" si="1"/>
        <v>2</v>
      </c>
      <c r="P69" s="1" t="str">
        <f t="shared" si="3"/>
        <v>引</v>
      </c>
      <c r="Q69" s="8" t="s">
        <v>12</v>
      </c>
      <c r="S69" s="8" t="s">
        <v>42</v>
      </c>
      <c r="U69" s="8" t="s">
        <v>41</v>
      </c>
      <c r="W69" s="8" t="s">
        <v>12</v>
      </c>
      <c r="Y69" s="8"/>
      <c r="AA69" s="8"/>
      <c r="AC69" s="8"/>
      <c r="AE69" s="8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</row>
    <row r="70" spans="2:43" x14ac:dyDescent="0.4">
      <c r="B70" s="16">
        <v>44353.958333333336</v>
      </c>
      <c r="C70" s="15">
        <v>0.75</v>
      </c>
      <c r="D70" s="21">
        <v>44354.708333333336</v>
      </c>
      <c r="E70" s="25">
        <v>68</v>
      </c>
      <c r="F70" s="1">
        <v>4</v>
      </c>
      <c r="G70" s="1">
        <f>VLOOKUP(F70,監督フォーメーション!$A$2:$C$10,3,FALSE)</f>
        <v>3142</v>
      </c>
      <c r="H70" s="1">
        <v>1289</v>
      </c>
      <c r="I70" s="1">
        <v>1300</v>
      </c>
      <c r="J70" s="1">
        <v>4312</v>
      </c>
      <c r="K70" s="9">
        <v>0.53</v>
      </c>
      <c r="L70" s="1">
        <v>4</v>
      </c>
      <c r="M70" s="9">
        <v>0.79</v>
      </c>
      <c r="N70" s="1">
        <f t="shared" si="2"/>
        <v>3</v>
      </c>
      <c r="O70" s="1">
        <f t="shared" si="1"/>
        <v>1</v>
      </c>
      <c r="P70" s="1" t="str">
        <f t="shared" si="3"/>
        <v>勝</v>
      </c>
      <c r="Q70" s="8" t="s">
        <v>12</v>
      </c>
      <c r="S70" s="8" t="s">
        <v>42</v>
      </c>
      <c r="U70" s="8" t="s">
        <v>43</v>
      </c>
      <c r="W70" s="8" t="s">
        <v>56</v>
      </c>
      <c r="Y70" s="8"/>
      <c r="AA70" s="8"/>
      <c r="AC70" s="8"/>
      <c r="AE70" s="8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</row>
    <row r="71" spans="2:43" x14ac:dyDescent="0.4">
      <c r="B71" s="16">
        <v>44353.958333333336</v>
      </c>
      <c r="C71" s="15">
        <v>0.79166666666666696</v>
      </c>
      <c r="D71" s="21">
        <v>44354.75</v>
      </c>
      <c r="E71" s="25">
        <v>69</v>
      </c>
      <c r="F71" s="1">
        <v>4</v>
      </c>
      <c r="G71" s="1">
        <f>VLOOKUP(F71,監督フォーメーション!$A$2:$C$10,3,FALSE)</f>
        <v>3142</v>
      </c>
      <c r="H71" s="1">
        <v>1297</v>
      </c>
      <c r="I71" s="1">
        <v>1240</v>
      </c>
      <c r="J71" s="1">
        <v>4222</v>
      </c>
      <c r="K71" s="9">
        <v>0.53</v>
      </c>
      <c r="L71" s="1">
        <v>3</v>
      </c>
      <c r="M71" s="9">
        <v>0.78</v>
      </c>
      <c r="N71" s="1">
        <f t="shared" si="2"/>
        <v>0</v>
      </c>
      <c r="O71" s="1">
        <f t="shared" si="1"/>
        <v>1</v>
      </c>
      <c r="P71" s="1" t="str">
        <f t="shared" si="3"/>
        <v>負</v>
      </c>
      <c r="Q71" s="8" t="s">
        <v>12</v>
      </c>
      <c r="S71" s="8"/>
      <c r="U71" s="8"/>
      <c r="W71" s="8"/>
      <c r="Y71" s="8"/>
      <c r="AA71" s="8"/>
      <c r="AC71" s="8"/>
      <c r="AE71" s="8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</row>
    <row r="72" spans="2:43" x14ac:dyDescent="0.4">
      <c r="B72" s="16">
        <v>44353.958333333336</v>
      </c>
      <c r="C72" s="15">
        <v>0.83333333333333304</v>
      </c>
      <c r="D72" s="21">
        <v>44354.791666666672</v>
      </c>
      <c r="E72" s="25">
        <v>70</v>
      </c>
      <c r="F72" s="1">
        <v>4</v>
      </c>
      <c r="G72" s="1">
        <f>VLOOKUP(F72,監督フォーメーション!$A$2:$C$10,3,FALSE)</f>
        <v>3142</v>
      </c>
      <c r="H72" s="1">
        <v>1279</v>
      </c>
      <c r="I72" s="1">
        <v>1260</v>
      </c>
      <c r="J72" s="1">
        <v>433</v>
      </c>
      <c r="K72" s="9">
        <v>0.62</v>
      </c>
      <c r="L72" s="1">
        <v>9</v>
      </c>
      <c r="M72" s="9">
        <v>0.86</v>
      </c>
      <c r="N72" s="1">
        <f t="shared" si="2"/>
        <v>3</v>
      </c>
      <c r="O72" s="1">
        <f t="shared" si="1"/>
        <v>2</v>
      </c>
      <c r="P72" s="1" t="str">
        <f t="shared" si="3"/>
        <v>勝</v>
      </c>
      <c r="Q72" s="8" t="s">
        <v>12</v>
      </c>
      <c r="S72" s="8" t="s">
        <v>12</v>
      </c>
      <c r="U72" s="8" t="s">
        <v>41</v>
      </c>
      <c r="W72" s="8" t="s">
        <v>42</v>
      </c>
      <c r="Y72" s="8" t="s">
        <v>56</v>
      </c>
      <c r="AA72" s="8"/>
      <c r="AC72" s="8"/>
      <c r="AE72" s="8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</row>
    <row r="73" spans="2:43" x14ac:dyDescent="0.4">
      <c r="B73" s="16">
        <v>44353.958333333336</v>
      </c>
      <c r="C73" s="15">
        <v>0.875</v>
      </c>
      <c r="D73" s="21">
        <v>44354.833333333336</v>
      </c>
      <c r="E73" s="25">
        <v>71</v>
      </c>
      <c r="F73" s="1">
        <v>4</v>
      </c>
      <c r="G73" s="1">
        <f>VLOOKUP(F73,監督フォーメーション!$A$2:$C$10,3,FALSE)</f>
        <v>3142</v>
      </c>
      <c r="H73" s="1">
        <v>1287</v>
      </c>
      <c r="I73" s="1">
        <v>1280</v>
      </c>
      <c r="J73" s="1">
        <v>4312</v>
      </c>
      <c r="K73" s="9">
        <v>0.54</v>
      </c>
      <c r="L73" s="1">
        <v>7</v>
      </c>
      <c r="M73" s="9">
        <v>0.84</v>
      </c>
      <c r="N73" s="1">
        <f t="shared" si="2"/>
        <v>1</v>
      </c>
      <c r="O73" s="1">
        <f t="shared" si="1"/>
        <v>3</v>
      </c>
      <c r="P73" s="1" t="str">
        <f t="shared" si="3"/>
        <v>負</v>
      </c>
      <c r="Q73" s="8" t="s">
        <v>12</v>
      </c>
      <c r="S73" s="8" t="s">
        <v>12</v>
      </c>
      <c r="U73" s="8" t="s">
        <v>44</v>
      </c>
      <c r="W73" s="8" t="s">
        <v>12</v>
      </c>
      <c r="Y73" s="8"/>
      <c r="AA73" s="8"/>
      <c r="AC73" s="8"/>
      <c r="AE73" s="8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</row>
    <row r="74" spans="2:43" x14ac:dyDescent="0.4">
      <c r="B74" s="16">
        <v>44353.958333333336</v>
      </c>
      <c r="C74" s="15">
        <v>0.91666666666666663</v>
      </c>
      <c r="D74" s="21">
        <v>44354.875</v>
      </c>
      <c r="E74" s="25">
        <v>72</v>
      </c>
      <c r="F74" s="1">
        <v>4</v>
      </c>
      <c r="G74" s="1">
        <f>VLOOKUP(F74,監督フォーメーション!$A$2:$C$10,3,FALSE)</f>
        <v>3142</v>
      </c>
      <c r="H74" s="1">
        <v>1289</v>
      </c>
      <c r="I74" s="1">
        <v>1350</v>
      </c>
      <c r="J74" s="1">
        <v>4312</v>
      </c>
      <c r="K74" s="9">
        <v>0.53</v>
      </c>
      <c r="L74" s="1">
        <v>2</v>
      </c>
      <c r="M74" s="9">
        <v>0.79</v>
      </c>
      <c r="N74" s="1">
        <f t="shared" si="2"/>
        <v>0</v>
      </c>
      <c r="O74" s="1">
        <f t="shared" si="1"/>
        <v>3</v>
      </c>
      <c r="P74" s="1" t="str">
        <f t="shared" si="3"/>
        <v>負</v>
      </c>
      <c r="Q74" s="8" t="s">
        <v>12</v>
      </c>
      <c r="S74" s="8" t="s">
        <v>12</v>
      </c>
      <c r="U74" s="8" t="s">
        <v>12</v>
      </c>
      <c r="W74" s="8"/>
      <c r="Y74" s="8"/>
      <c r="AA74" s="8"/>
      <c r="AC74" s="8"/>
      <c r="AE74" s="8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</row>
    <row r="75" spans="2:43" x14ac:dyDescent="0.4">
      <c r="B75" s="16">
        <v>44353.958333333336</v>
      </c>
      <c r="C75" s="15">
        <v>0.95833333333333337</v>
      </c>
      <c r="D75" s="21">
        <v>44354.916666666672</v>
      </c>
      <c r="E75" s="25">
        <v>73</v>
      </c>
      <c r="F75" s="1">
        <v>4</v>
      </c>
      <c r="G75" s="1">
        <f>VLOOKUP(F75,監督フォーメーション!$A$2:$C$10,3,FALSE)</f>
        <v>3142</v>
      </c>
      <c r="H75" s="1">
        <v>1284</v>
      </c>
      <c r="I75" s="1">
        <v>1230</v>
      </c>
      <c r="J75" s="1">
        <v>3322</v>
      </c>
      <c r="K75" s="9">
        <v>0.49</v>
      </c>
      <c r="L75" s="1">
        <v>4</v>
      </c>
      <c r="M75" s="9">
        <v>0.77</v>
      </c>
      <c r="N75" s="1">
        <f t="shared" si="2"/>
        <v>2</v>
      </c>
      <c r="O75" s="1">
        <f t="shared" si="1"/>
        <v>1</v>
      </c>
      <c r="P75" s="1" t="str">
        <f t="shared" si="3"/>
        <v>勝</v>
      </c>
      <c r="Q75" s="8" t="s">
        <v>12</v>
      </c>
      <c r="S75" s="8" t="s">
        <v>42</v>
      </c>
      <c r="U75" s="8" t="s">
        <v>44</v>
      </c>
      <c r="W75" s="8"/>
      <c r="Y75" s="8"/>
      <c r="AA75" s="8"/>
      <c r="AC75" s="8"/>
      <c r="AE75" s="8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</row>
    <row r="76" spans="2:43" x14ac:dyDescent="0.4">
      <c r="B76" s="16">
        <v>44358</v>
      </c>
      <c r="C76" s="15">
        <v>0.3756944444444445</v>
      </c>
      <c r="D76" s="21">
        <v>44358.375694444447</v>
      </c>
      <c r="E76" s="25">
        <v>74</v>
      </c>
      <c r="F76" s="1">
        <v>4</v>
      </c>
      <c r="G76" s="1">
        <f>VLOOKUP(F76,監督フォーメーション!$A$2:$C$10,3,FALSE)</f>
        <v>3142</v>
      </c>
      <c r="H76" s="1">
        <v>1289</v>
      </c>
      <c r="I76" s="1" t="s">
        <v>9</v>
      </c>
      <c r="J76" s="1">
        <v>433</v>
      </c>
      <c r="K76" s="9">
        <v>0.56999999999999995</v>
      </c>
      <c r="L76" s="1">
        <v>7</v>
      </c>
      <c r="M76" s="9">
        <v>0.86</v>
      </c>
      <c r="N76" s="1">
        <f t="shared" si="2"/>
        <v>1</v>
      </c>
      <c r="O76" s="1">
        <f t="shared" si="1"/>
        <v>1</v>
      </c>
      <c r="P76" s="1" t="str">
        <f t="shared" si="3"/>
        <v>引</v>
      </c>
      <c r="Q76" s="8" t="s">
        <v>12</v>
      </c>
      <c r="S76" s="8" t="s">
        <v>42</v>
      </c>
      <c r="U76" s="8"/>
      <c r="W76" s="8"/>
      <c r="Y76" s="8"/>
      <c r="AA76" s="8"/>
      <c r="AC76" s="8"/>
      <c r="AE76" s="8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</row>
    <row r="77" spans="2:43" x14ac:dyDescent="0.4">
      <c r="B77" s="16">
        <v>44358</v>
      </c>
      <c r="C77" s="15">
        <v>0.3888888888888889</v>
      </c>
      <c r="D77" s="21">
        <v>44358.388888888891</v>
      </c>
      <c r="E77" s="25">
        <v>75</v>
      </c>
      <c r="F77" s="1">
        <v>4</v>
      </c>
      <c r="G77" s="1">
        <f>VLOOKUP(F77,監督フォーメーション!$A$2:$C$10,3,FALSE)</f>
        <v>3142</v>
      </c>
      <c r="H77" s="1">
        <v>1289</v>
      </c>
      <c r="I77" s="1" t="s">
        <v>9</v>
      </c>
      <c r="J77" s="1">
        <v>5212</v>
      </c>
      <c r="K77" s="9">
        <v>0.48</v>
      </c>
      <c r="L77" s="1">
        <v>8</v>
      </c>
      <c r="M77" s="9">
        <v>0.84</v>
      </c>
      <c r="N77" s="1">
        <f t="shared" si="2"/>
        <v>4</v>
      </c>
      <c r="O77" s="1">
        <f t="shared" si="1"/>
        <v>3</v>
      </c>
      <c r="P77" s="1" t="str">
        <f t="shared" si="3"/>
        <v>勝</v>
      </c>
      <c r="Q77" s="8" t="s">
        <v>12</v>
      </c>
      <c r="S77" s="8" t="s">
        <v>46</v>
      </c>
      <c r="U77" s="8" t="s">
        <v>41</v>
      </c>
      <c r="W77" s="8" t="s">
        <v>44</v>
      </c>
      <c r="Y77" s="8" t="s">
        <v>12</v>
      </c>
      <c r="AA77" s="8" t="s">
        <v>41</v>
      </c>
      <c r="AC77" s="8" t="s">
        <v>12</v>
      </c>
      <c r="AE77" s="8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</row>
    <row r="78" spans="2:43" x14ac:dyDescent="0.4">
      <c r="B78" s="16">
        <v>44359</v>
      </c>
      <c r="C78" s="15">
        <v>0.40972222222222227</v>
      </c>
      <c r="D78" s="21">
        <v>44359.409722222219</v>
      </c>
      <c r="E78" s="25">
        <v>76</v>
      </c>
      <c r="F78" s="1">
        <v>4</v>
      </c>
      <c r="G78" s="1">
        <f>VLOOKUP(F78,監督フォーメーション!$A$2:$C$10,3,FALSE)</f>
        <v>3142</v>
      </c>
      <c r="H78" s="1">
        <v>1289</v>
      </c>
      <c r="I78" s="1" t="s">
        <v>9</v>
      </c>
      <c r="J78" s="1">
        <v>433</v>
      </c>
      <c r="K78" s="9">
        <v>0.48</v>
      </c>
      <c r="L78" s="1">
        <v>7</v>
      </c>
      <c r="M78" s="9">
        <v>0.85</v>
      </c>
      <c r="N78" s="1">
        <f>COUNTA(Q78,S78,U78,W78,Y78,AA78,AC78,AE78,AG78)-O78</f>
        <v>3</v>
      </c>
      <c r="O78" s="1">
        <f t="shared" si="1"/>
        <v>2</v>
      </c>
      <c r="P78" s="1" t="str">
        <f t="shared" si="3"/>
        <v>勝</v>
      </c>
      <c r="Q78" s="8" t="s">
        <v>41</v>
      </c>
      <c r="R78" s="17" t="s">
        <v>42</v>
      </c>
      <c r="S78" s="8" t="s">
        <v>40</v>
      </c>
      <c r="T78" s="17" t="s">
        <v>41</v>
      </c>
      <c r="U78" s="8" t="s">
        <v>12</v>
      </c>
      <c r="V78" s="17" t="s">
        <v>23</v>
      </c>
      <c r="W78" s="8" t="s">
        <v>12</v>
      </c>
      <c r="X78" s="17" t="s">
        <v>23</v>
      </c>
      <c r="Y78" s="8" t="s">
        <v>42</v>
      </c>
      <c r="Z78" s="17" t="s">
        <v>44</v>
      </c>
      <c r="AA78" s="8"/>
      <c r="AC78" s="8"/>
      <c r="AE78" s="8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</row>
    <row r="79" spans="2:43" x14ac:dyDescent="0.4">
      <c r="B79" s="16">
        <v>44360</v>
      </c>
      <c r="C79" s="15">
        <v>0.35833333333333334</v>
      </c>
      <c r="D79" s="21">
        <v>44360.35833333333</v>
      </c>
      <c r="E79" s="25">
        <v>77</v>
      </c>
      <c r="F79" s="1">
        <v>4</v>
      </c>
      <c r="G79" s="1">
        <f>VLOOKUP(F79,監督フォーメーション!$A$2:$C$10,3,FALSE)</f>
        <v>3142</v>
      </c>
      <c r="H79" s="1">
        <v>1289</v>
      </c>
      <c r="I79" s="1" t="s">
        <v>9</v>
      </c>
      <c r="J79" s="1">
        <v>4213</v>
      </c>
      <c r="K79" s="9">
        <v>0.5</v>
      </c>
      <c r="L79" s="1">
        <v>6</v>
      </c>
      <c r="M79" s="9">
        <v>0.85</v>
      </c>
      <c r="N79" s="1">
        <f>COUNTA(Q79,S79,U79,W79,Y79,AA79,AC79,AE79,AG79)-O79</f>
        <v>1</v>
      </c>
      <c r="O79" s="1">
        <f t="shared" si="1"/>
        <v>0</v>
      </c>
      <c r="P79" s="1" t="str">
        <f t="shared" si="3"/>
        <v>勝</v>
      </c>
      <c r="Q79" s="8" t="s">
        <v>44</v>
      </c>
      <c r="R79" s="17" t="s">
        <v>41</v>
      </c>
      <c r="S79" s="8"/>
      <c r="U79" s="8"/>
      <c r="W79" s="8"/>
      <c r="Y79" s="8"/>
      <c r="AA79" s="8"/>
      <c r="AC79" s="8"/>
      <c r="AE79" s="8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</row>
    <row r="80" spans="2:43" x14ac:dyDescent="0.4">
      <c r="B80" s="16">
        <v>44360</v>
      </c>
      <c r="C80" s="15">
        <v>0.45833333333333331</v>
      </c>
      <c r="D80" s="21">
        <v>44360.458333333336</v>
      </c>
      <c r="E80" s="25">
        <v>78</v>
      </c>
      <c r="F80" s="1">
        <v>4</v>
      </c>
      <c r="G80" s="1">
        <f>VLOOKUP(F80,監督フォーメーション!$A$2:$C$10,3,FALSE)</f>
        <v>3142</v>
      </c>
      <c r="H80" s="1">
        <v>1289</v>
      </c>
      <c r="I80" s="1" t="s">
        <v>9</v>
      </c>
      <c r="J80" s="1">
        <v>4222</v>
      </c>
      <c r="K80" s="9">
        <v>0.47</v>
      </c>
      <c r="L80" s="1">
        <v>9</v>
      </c>
      <c r="M80" s="9">
        <v>0.79</v>
      </c>
      <c r="N80" s="1">
        <f t="shared" ref="N80:N143" si="4">COUNTA(Q80,S80,U80,W80,Y80,AA80,AC80,AE80,AG80)-O80</f>
        <v>1</v>
      </c>
      <c r="O80" s="1">
        <f t="shared" si="1"/>
        <v>0</v>
      </c>
      <c r="P80" s="1" t="str">
        <f t="shared" si="3"/>
        <v>勝</v>
      </c>
      <c r="Q80" s="8" t="s">
        <v>47</v>
      </c>
      <c r="S80" s="8"/>
      <c r="U80" s="8"/>
      <c r="W80" s="8"/>
      <c r="Y80" s="8"/>
      <c r="AA80" s="8"/>
      <c r="AC80" s="8"/>
      <c r="AE80" s="8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</row>
    <row r="81" spans="2:43" x14ac:dyDescent="0.4">
      <c r="B81" s="16">
        <v>44360</v>
      </c>
      <c r="C81" s="15">
        <v>0.4604166666666667</v>
      </c>
      <c r="D81" s="21">
        <v>44360.460416666669</v>
      </c>
      <c r="E81" s="25">
        <v>79</v>
      </c>
      <c r="F81" s="1">
        <v>4</v>
      </c>
      <c r="G81" s="1">
        <f>VLOOKUP(F81,監督フォーメーション!$A$2:$C$10,3,FALSE)</f>
        <v>3142</v>
      </c>
      <c r="H81" s="1">
        <v>1289</v>
      </c>
      <c r="I81" s="1" t="s">
        <v>9</v>
      </c>
      <c r="J81" s="1">
        <v>4231</v>
      </c>
      <c r="K81" s="9">
        <v>0.57999999999999996</v>
      </c>
      <c r="L81" s="1">
        <v>6</v>
      </c>
      <c r="M81" s="9">
        <v>0.85</v>
      </c>
      <c r="N81" s="1">
        <f t="shared" si="4"/>
        <v>2</v>
      </c>
      <c r="O81" s="1">
        <f t="shared" si="1"/>
        <v>2</v>
      </c>
      <c r="P81" s="1" t="str">
        <f t="shared" si="3"/>
        <v>引</v>
      </c>
      <c r="Q81" s="8" t="s">
        <v>42</v>
      </c>
      <c r="R81" s="17" t="s">
        <v>44</v>
      </c>
      <c r="S81" s="8" t="s">
        <v>44</v>
      </c>
      <c r="T81" s="17" t="s">
        <v>41</v>
      </c>
      <c r="U81" s="8" t="s">
        <v>12</v>
      </c>
      <c r="V81" s="17" t="s">
        <v>23</v>
      </c>
      <c r="W81" s="8" t="s">
        <v>12</v>
      </c>
      <c r="X81" s="17" t="s">
        <v>23</v>
      </c>
      <c r="Y81" s="8"/>
      <c r="AA81" s="8"/>
      <c r="AC81" s="8"/>
      <c r="AE81" s="8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</row>
    <row r="82" spans="2:43" x14ac:dyDescent="0.4">
      <c r="B82" s="16">
        <v>44360</v>
      </c>
      <c r="C82" s="15">
        <v>0.87083333333333324</v>
      </c>
      <c r="D82" s="21">
        <v>44360.870833333334</v>
      </c>
      <c r="E82" s="25">
        <v>80</v>
      </c>
      <c r="F82" s="1">
        <v>4</v>
      </c>
      <c r="G82" s="1">
        <f>VLOOKUP(F82,監督フォーメーション!$A$2:$C$10,3,FALSE)</f>
        <v>3142</v>
      </c>
      <c r="H82" s="1">
        <v>1289</v>
      </c>
      <c r="I82" s="1" t="s">
        <v>9</v>
      </c>
      <c r="J82" s="1">
        <v>4222</v>
      </c>
      <c r="K82" s="9">
        <v>0.6</v>
      </c>
      <c r="L82" s="1">
        <v>12</v>
      </c>
      <c r="M82" s="9">
        <v>0.86</v>
      </c>
      <c r="N82" s="1">
        <f t="shared" si="4"/>
        <v>2</v>
      </c>
      <c r="O82" s="1">
        <f t="shared" si="1"/>
        <v>0</v>
      </c>
      <c r="P82" s="1" t="str">
        <f t="shared" si="3"/>
        <v>勝</v>
      </c>
      <c r="Q82" s="8" t="s">
        <v>41</v>
      </c>
      <c r="R82" s="17" t="s">
        <v>46</v>
      </c>
      <c r="S82" s="8" t="s">
        <v>41</v>
      </c>
      <c r="T82" s="17" t="s">
        <v>56</v>
      </c>
      <c r="U82" s="8"/>
      <c r="W82" s="8"/>
      <c r="Y82" s="8"/>
      <c r="AA82" s="8"/>
      <c r="AC82" s="8"/>
      <c r="AE82" s="8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</row>
    <row r="83" spans="2:43" x14ac:dyDescent="0.4">
      <c r="B83" s="16">
        <v>44360</v>
      </c>
      <c r="C83" s="15">
        <v>0.87916666666666676</v>
      </c>
      <c r="D83" s="21">
        <v>44360.879166666666</v>
      </c>
      <c r="E83" s="25">
        <v>81</v>
      </c>
      <c r="F83" s="1">
        <v>4</v>
      </c>
      <c r="G83" s="1">
        <f>VLOOKUP(F83,監督フォーメーション!$A$2:$C$10,3,FALSE)</f>
        <v>3142</v>
      </c>
      <c r="H83" s="1">
        <v>1289</v>
      </c>
      <c r="I83" s="1">
        <v>1145</v>
      </c>
      <c r="J83" s="1">
        <v>4213</v>
      </c>
      <c r="K83" s="9">
        <v>0.61</v>
      </c>
      <c r="L83" s="1">
        <v>3</v>
      </c>
      <c r="M83" s="9">
        <v>0.82</v>
      </c>
      <c r="N83" s="1">
        <f t="shared" si="4"/>
        <v>3</v>
      </c>
      <c r="O83" s="1">
        <f t="shared" si="1"/>
        <v>1</v>
      </c>
      <c r="P83" s="1" t="str">
        <f t="shared" si="3"/>
        <v>勝</v>
      </c>
      <c r="Q83" s="8" t="s">
        <v>58</v>
      </c>
      <c r="R83" s="17" t="s">
        <v>60</v>
      </c>
      <c r="S83" s="8" t="s">
        <v>12</v>
      </c>
      <c r="T83" s="17" t="s">
        <v>23</v>
      </c>
      <c r="U83" s="8" t="s">
        <v>41</v>
      </c>
      <c r="V83" s="8" t="s">
        <v>58</v>
      </c>
      <c r="W83" s="8" t="s">
        <v>41</v>
      </c>
      <c r="Y83" s="8"/>
      <c r="AA83" s="8"/>
      <c r="AC83" s="8"/>
      <c r="AE83" s="8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</row>
    <row r="84" spans="2:43" x14ac:dyDescent="0.4">
      <c r="B84" s="16">
        <v>44360</v>
      </c>
      <c r="C84" s="15">
        <v>0.88055555555555554</v>
      </c>
      <c r="D84" s="21">
        <v>44360.880555555559</v>
      </c>
      <c r="E84" s="25">
        <v>82</v>
      </c>
      <c r="F84" s="1">
        <v>4</v>
      </c>
      <c r="G84" s="1">
        <f>VLOOKUP(F84,監督フォーメーション!$A$2:$C$10,3,FALSE)</f>
        <v>3142</v>
      </c>
      <c r="H84" s="1">
        <v>1296</v>
      </c>
      <c r="I84" s="1">
        <v>1130</v>
      </c>
      <c r="J84" s="1">
        <v>433</v>
      </c>
      <c r="K84" s="9">
        <v>0.53</v>
      </c>
      <c r="L84" s="1">
        <v>7</v>
      </c>
      <c r="M84" s="9">
        <v>0.87</v>
      </c>
      <c r="N84" s="1">
        <f t="shared" si="4"/>
        <v>1</v>
      </c>
      <c r="O84" s="1">
        <f t="shared" si="1"/>
        <v>0</v>
      </c>
      <c r="P84" s="1" t="str">
        <f t="shared" si="3"/>
        <v>勝</v>
      </c>
      <c r="Q84" s="8" t="s">
        <v>44</v>
      </c>
      <c r="S84" s="8"/>
      <c r="U84" s="8"/>
      <c r="W84" s="8"/>
      <c r="Y84" s="8"/>
      <c r="AA84" s="8"/>
      <c r="AC84" s="8"/>
      <c r="AE84" s="8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</row>
    <row r="85" spans="2:43" x14ac:dyDescent="0.4">
      <c r="B85" s="16">
        <v>44360</v>
      </c>
      <c r="C85" s="15">
        <v>0.89097222222222217</v>
      </c>
      <c r="D85" s="21">
        <v>44360.890972222223</v>
      </c>
      <c r="E85" s="25">
        <v>83</v>
      </c>
      <c r="F85" s="1">
        <v>4</v>
      </c>
      <c r="G85" s="1">
        <f>VLOOKUP(F85,監督フォーメーション!$A$2:$C$10,3,FALSE)</f>
        <v>3142</v>
      </c>
      <c r="H85" s="1">
        <v>1304</v>
      </c>
      <c r="I85" s="1">
        <v>1217</v>
      </c>
      <c r="J85" s="1">
        <v>4222</v>
      </c>
      <c r="K85" s="9" t="s">
        <v>13</v>
      </c>
      <c r="L85" s="1" t="s">
        <v>13</v>
      </c>
      <c r="M85" s="9" t="s">
        <v>13</v>
      </c>
      <c r="N85" s="1">
        <f t="shared" si="4"/>
        <v>2</v>
      </c>
      <c r="O85" s="1">
        <f t="shared" si="1"/>
        <v>0</v>
      </c>
      <c r="P85" s="1" t="str">
        <f t="shared" si="3"/>
        <v>勝</v>
      </c>
      <c r="Q85" s="8" t="s">
        <v>60</v>
      </c>
      <c r="R85" s="17" t="s">
        <v>23</v>
      </c>
      <c r="S85" s="8" t="s">
        <v>41</v>
      </c>
      <c r="T85" s="17" t="s">
        <v>47</v>
      </c>
      <c r="U85" s="8"/>
      <c r="W85" s="8"/>
      <c r="Y85" s="8"/>
      <c r="AA85" s="8"/>
      <c r="AC85" s="8"/>
      <c r="AE85" s="8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</row>
    <row r="86" spans="2:43" x14ac:dyDescent="0.4">
      <c r="B86" s="16">
        <v>44360</v>
      </c>
      <c r="C86" s="15">
        <v>0.90833333333333333</v>
      </c>
      <c r="D86" s="21">
        <v>44360.908333333333</v>
      </c>
      <c r="E86" s="25">
        <v>84</v>
      </c>
      <c r="F86" s="1">
        <v>5</v>
      </c>
      <c r="G86" s="1">
        <f>VLOOKUP(F86,監督フォーメーション!$A$2:$C$10,3,FALSE)</f>
        <v>3142</v>
      </c>
      <c r="H86" s="1">
        <v>1313</v>
      </c>
      <c r="I86" s="1">
        <v>1242</v>
      </c>
      <c r="J86" s="1">
        <v>4312</v>
      </c>
      <c r="K86" s="9">
        <v>0.61</v>
      </c>
      <c r="L86" s="1">
        <v>4</v>
      </c>
      <c r="M86" s="9">
        <v>0.81</v>
      </c>
      <c r="N86" s="1">
        <f t="shared" si="4"/>
        <v>1</v>
      </c>
      <c r="O86" s="1">
        <f t="shared" si="1"/>
        <v>1</v>
      </c>
      <c r="P86" s="1" t="str">
        <f t="shared" si="3"/>
        <v>引</v>
      </c>
      <c r="Q86" s="8" t="s">
        <v>42</v>
      </c>
      <c r="R86" s="17" t="s">
        <v>47</v>
      </c>
      <c r="S86" s="8" t="s">
        <v>12</v>
      </c>
      <c r="T86" s="17" t="s">
        <v>23</v>
      </c>
      <c r="U86" s="8"/>
      <c r="W86" s="8"/>
      <c r="Y86" s="8"/>
      <c r="AA86" s="8"/>
      <c r="AC86" s="8"/>
      <c r="AE86" s="8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</row>
    <row r="87" spans="2:43" x14ac:dyDescent="0.4">
      <c r="B87" s="16">
        <v>44360</v>
      </c>
      <c r="C87" s="15">
        <v>0.90902777777777777</v>
      </c>
      <c r="D87" s="21">
        <v>44360.90902777778</v>
      </c>
      <c r="E87" s="25">
        <v>85</v>
      </c>
      <c r="F87" s="1">
        <v>5</v>
      </c>
      <c r="G87" s="1">
        <f>VLOOKUP(F87,監督フォーメーション!$A$2:$C$10,3,FALSE)</f>
        <v>3142</v>
      </c>
      <c r="H87" s="1">
        <v>1311</v>
      </c>
      <c r="I87" s="1">
        <v>1200</v>
      </c>
      <c r="J87" s="1">
        <v>4312</v>
      </c>
      <c r="K87" s="9">
        <v>0.56999999999999995</v>
      </c>
      <c r="L87" s="1">
        <v>6</v>
      </c>
      <c r="M87" s="9">
        <v>0.83</v>
      </c>
      <c r="N87" s="1">
        <f t="shared" si="4"/>
        <v>3</v>
      </c>
      <c r="O87" s="1">
        <f t="shared" si="1"/>
        <v>2</v>
      </c>
      <c r="P87" s="1" t="str">
        <f t="shared" si="3"/>
        <v>勝</v>
      </c>
      <c r="Q87" s="8" t="s">
        <v>12</v>
      </c>
      <c r="R87" s="17" t="s">
        <v>23</v>
      </c>
      <c r="S87" s="8" t="s">
        <v>41</v>
      </c>
      <c r="T87" s="17" t="s">
        <v>44</v>
      </c>
      <c r="U87" s="8" t="s">
        <v>43</v>
      </c>
      <c r="V87" s="17" t="s">
        <v>42</v>
      </c>
      <c r="W87" s="8" t="s">
        <v>12</v>
      </c>
      <c r="X87" s="17" t="s">
        <v>23</v>
      </c>
      <c r="Y87" s="8" t="s">
        <v>42</v>
      </c>
      <c r="Z87" s="17" t="s">
        <v>43</v>
      </c>
      <c r="AA87" s="8"/>
      <c r="AC87" s="8"/>
      <c r="AE87" s="8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</row>
    <row r="88" spans="2:43" x14ac:dyDescent="0.4">
      <c r="B88" s="16">
        <v>44360</v>
      </c>
      <c r="C88" s="15">
        <v>0.91111111111111109</v>
      </c>
      <c r="D88" s="21">
        <v>44360.911111111112</v>
      </c>
      <c r="E88" s="25">
        <v>86</v>
      </c>
      <c r="F88" s="1">
        <v>5</v>
      </c>
      <c r="G88" s="1">
        <f>VLOOKUP(F88,監督フォーメーション!$A$2:$C$10,3,FALSE)</f>
        <v>3142</v>
      </c>
      <c r="H88" s="1">
        <v>1318</v>
      </c>
      <c r="I88" s="1">
        <v>1140</v>
      </c>
      <c r="J88" s="1">
        <v>3223</v>
      </c>
      <c r="K88" s="9">
        <v>0.59</v>
      </c>
      <c r="L88" s="1">
        <v>10</v>
      </c>
      <c r="M88" s="9">
        <v>0.84</v>
      </c>
      <c r="N88" s="1">
        <f t="shared" si="4"/>
        <v>4</v>
      </c>
      <c r="O88" s="1">
        <f t="shared" si="1"/>
        <v>1</v>
      </c>
      <c r="P88" s="1" t="str">
        <f t="shared" si="3"/>
        <v>勝</v>
      </c>
      <c r="Q88" s="8" t="s">
        <v>42</v>
      </c>
      <c r="R88" s="17" t="s">
        <v>70</v>
      </c>
      <c r="S88" s="8" t="s">
        <v>43</v>
      </c>
      <c r="T88" s="17" t="s">
        <v>47</v>
      </c>
      <c r="U88" s="8" t="s">
        <v>47</v>
      </c>
      <c r="V88" s="17" t="s">
        <v>23</v>
      </c>
      <c r="W88" s="8" t="s">
        <v>43</v>
      </c>
      <c r="X88"/>
      <c r="Y88" s="8" t="s">
        <v>12</v>
      </c>
      <c r="Z88" s="17" t="s">
        <v>23</v>
      </c>
      <c r="AA88" s="8"/>
      <c r="AC88" s="8"/>
      <c r="AE88" s="8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</row>
    <row r="89" spans="2:43" x14ac:dyDescent="0.4">
      <c r="B89" s="16">
        <v>44363</v>
      </c>
      <c r="C89" s="15">
        <v>0.82638888888888884</v>
      </c>
      <c r="D89" s="21">
        <v>44363.826388888891</v>
      </c>
      <c r="E89" s="25">
        <v>87</v>
      </c>
      <c r="F89" s="1">
        <v>5</v>
      </c>
      <c r="G89" s="1">
        <f>VLOOKUP(F89,監督フォーメーション!$A$2:$C$10,3,FALSE)</f>
        <v>3142</v>
      </c>
      <c r="H89" s="1">
        <v>1324</v>
      </c>
      <c r="I89" s="1" t="s">
        <v>9</v>
      </c>
      <c r="J89" s="1">
        <v>4222</v>
      </c>
      <c r="K89" s="9">
        <v>0.54</v>
      </c>
      <c r="L89" s="1">
        <v>4</v>
      </c>
      <c r="M89" s="9">
        <v>0.89</v>
      </c>
      <c r="N89" s="1">
        <f t="shared" si="4"/>
        <v>2</v>
      </c>
      <c r="O89" s="1">
        <f t="shared" si="1"/>
        <v>1</v>
      </c>
      <c r="P89" s="1" t="str">
        <f t="shared" si="3"/>
        <v>勝</v>
      </c>
      <c r="Q89" s="19" t="s">
        <v>12</v>
      </c>
      <c r="R89" s="17" t="s">
        <v>23</v>
      </c>
      <c r="S89" s="8" t="s">
        <v>44</v>
      </c>
      <c r="T89" s="17" t="s">
        <v>63</v>
      </c>
      <c r="U89" s="8" t="s">
        <v>44</v>
      </c>
      <c r="V89" s="17" t="s">
        <v>23</v>
      </c>
      <c r="W89" s="8"/>
      <c r="Y89" s="8"/>
      <c r="AA89" s="8"/>
      <c r="AC89" s="8"/>
      <c r="AE89" s="8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</row>
    <row r="90" spans="2:43" x14ac:dyDescent="0.4">
      <c r="B90" s="16">
        <v>44363</v>
      </c>
      <c r="C90" s="15">
        <v>0.82777777777777783</v>
      </c>
      <c r="D90" s="21">
        <v>44363.827777777777</v>
      </c>
      <c r="E90" s="25">
        <v>88</v>
      </c>
      <c r="F90" s="1">
        <v>5</v>
      </c>
      <c r="G90" s="1">
        <f>VLOOKUP(F90,監督フォーメーション!$A$2:$C$10,3,FALSE)</f>
        <v>3142</v>
      </c>
      <c r="H90" s="1">
        <v>1324</v>
      </c>
      <c r="I90" s="1" t="s">
        <v>9</v>
      </c>
      <c r="J90" s="1">
        <v>4222</v>
      </c>
      <c r="K90" s="9"/>
      <c r="M90" s="9"/>
      <c r="N90" s="1">
        <f t="shared" si="4"/>
        <v>3</v>
      </c>
      <c r="O90" s="1">
        <f t="shared" si="1"/>
        <v>0</v>
      </c>
      <c r="P90" s="1" t="str">
        <f t="shared" si="3"/>
        <v>勝</v>
      </c>
      <c r="Q90" s="8" t="s">
        <v>44</v>
      </c>
      <c r="R90" s="17" t="s">
        <v>42</v>
      </c>
      <c r="S90" s="8" t="s">
        <v>44</v>
      </c>
      <c r="T90" s="17" t="s">
        <v>41</v>
      </c>
      <c r="U90" s="8" t="s">
        <v>43</v>
      </c>
      <c r="V90" s="17" t="s">
        <v>42</v>
      </c>
      <c r="W90" s="8"/>
      <c r="Y90" s="8"/>
      <c r="AA90" s="8"/>
      <c r="AC90" s="8"/>
      <c r="AD90"/>
      <c r="AE90" s="8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</row>
    <row r="91" spans="2:43" x14ac:dyDescent="0.4">
      <c r="B91" s="16">
        <v>44363</v>
      </c>
      <c r="C91" s="15">
        <v>0.83750000000000002</v>
      </c>
      <c r="D91" s="21">
        <v>44363.837500000001</v>
      </c>
      <c r="E91" s="25">
        <v>89</v>
      </c>
      <c r="F91" s="1">
        <v>5</v>
      </c>
      <c r="G91" s="1">
        <f>VLOOKUP(F91,監督フォーメーション!$A$2:$C$10,3,FALSE)</f>
        <v>3142</v>
      </c>
      <c r="H91" s="1">
        <v>1324</v>
      </c>
      <c r="I91" s="1" t="s">
        <v>9</v>
      </c>
      <c r="J91" s="1">
        <v>433</v>
      </c>
      <c r="K91" s="9">
        <v>0.5</v>
      </c>
      <c r="L91" s="1">
        <v>6</v>
      </c>
      <c r="M91" s="9">
        <v>0.86</v>
      </c>
      <c r="N91" s="1">
        <f t="shared" si="4"/>
        <v>5</v>
      </c>
      <c r="O91" s="1">
        <f t="shared" si="1"/>
        <v>1</v>
      </c>
      <c r="P91" s="1" t="str">
        <f t="shared" si="3"/>
        <v>勝</v>
      </c>
      <c r="Q91" s="8" t="s">
        <v>41</v>
      </c>
      <c r="R91" s="17" t="s">
        <v>42</v>
      </c>
      <c r="S91" s="8" t="s">
        <v>44</v>
      </c>
      <c r="T91" s="17" t="s">
        <v>63</v>
      </c>
      <c r="U91" s="8" t="s">
        <v>12</v>
      </c>
      <c r="V91" s="17" t="s">
        <v>23</v>
      </c>
      <c r="W91" s="8" t="s">
        <v>42</v>
      </c>
      <c r="X91" s="17" t="s">
        <v>44</v>
      </c>
      <c r="Y91" s="8" t="s">
        <v>43</v>
      </c>
      <c r="Z91" s="17" t="s">
        <v>42</v>
      </c>
      <c r="AA91" s="8" t="s">
        <v>44</v>
      </c>
      <c r="AB91" s="17" t="s">
        <v>43</v>
      </c>
      <c r="AC91" s="8"/>
      <c r="AE91" s="8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</row>
    <row r="92" spans="2:43" x14ac:dyDescent="0.4">
      <c r="B92" s="16">
        <v>44364</v>
      </c>
      <c r="C92" s="15">
        <v>0.94097222222222221</v>
      </c>
      <c r="D92" s="21">
        <v>44364.940972222219</v>
      </c>
      <c r="E92" s="25">
        <v>90</v>
      </c>
      <c r="F92" s="1">
        <v>5</v>
      </c>
      <c r="G92" s="1">
        <f>VLOOKUP(F92,監督フォーメーション!$A$2:$C$10,3,FALSE)</f>
        <v>3142</v>
      </c>
      <c r="H92" s="1">
        <v>1324</v>
      </c>
      <c r="I92" s="1" t="s">
        <v>9</v>
      </c>
      <c r="J92" s="1">
        <v>4123</v>
      </c>
      <c r="K92" s="9"/>
      <c r="M92" s="9"/>
      <c r="N92" s="1">
        <f t="shared" si="4"/>
        <v>0</v>
      </c>
      <c r="O92" s="1">
        <f t="shared" si="1"/>
        <v>2</v>
      </c>
      <c r="P92" s="1" t="str">
        <f t="shared" si="3"/>
        <v>負</v>
      </c>
      <c r="Q92" s="8" t="s">
        <v>12</v>
      </c>
      <c r="R92" s="17" t="s">
        <v>23</v>
      </c>
      <c r="S92" s="8" t="s">
        <v>12</v>
      </c>
      <c r="T92" s="17" t="s">
        <v>23</v>
      </c>
      <c r="U92" s="8"/>
      <c r="W92" s="8"/>
      <c r="Y92" s="8"/>
      <c r="AA92" s="8"/>
      <c r="AC92" s="8"/>
      <c r="AE92" s="8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</row>
    <row r="93" spans="2:43" x14ac:dyDescent="0.4">
      <c r="B93" s="16">
        <v>44364</v>
      </c>
      <c r="C93" s="15">
        <v>0.94930555555555562</v>
      </c>
      <c r="D93" s="21">
        <v>44364.949305555558</v>
      </c>
      <c r="E93" s="25">
        <v>91</v>
      </c>
      <c r="F93" s="1">
        <v>5</v>
      </c>
      <c r="G93" s="1">
        <f>VLOOKUP(F93,監督フォーメーション!$A$2:$C$10,3,FALSE)</f>
        <v>3142</v>
      </c>
      <c r="H93" s="1">
        <v>1324</v>
      </c>
      <c r="I93" s="1" t="s">
        <v>9</v>
      </c>
      <c r="J93" s="1">
        <v>4222</v>
      </c>
      <c r="K93" s="9">
        <v>0.41</v>
      </c>
      <c r="L93" s="1">
        <v>7</v>
      </c>
      <c r="M93" s="9">
        <v>0.82</v>
      </c>
      <c r="N93" s="1">
        <f t="shared" si="4"/>
        <v>5</v>
      </c>
      <c r="O93" s="1">
        <f t="shared" si="1"/>
        <v>0</v>
      </c>
      <c r="P93" s="1" t="str">
        <f t="shared" si="3"/>
        <v>勝</v>
      </c>
      <c r="Q93" s="8" t="s">
        <v>42</v>
      </c>
      <c r="R93" s="17" t="s">
        <v>43</v>
      </c>
      <c r="S93" s="8" t="s">
        <v>42</v>
      </c>
      <c r="T93" s="17" t="s">
        <v>43</v>
      </c>
      <c r="U93" s="8" t="s">
        <v>42</v>
      </c>
      <c r="V93" s="17" t="s">
        <v>43</v>
      </c>
      <c r="W93" s="8" t="s">
        <v>42</v>
      </c>
      <c r="X93" s="17" t="s">
        <v>43</v>
      </c>
      <c r="Y93" s="8" t="s">
        <v>42</v>
      </c>
      <c r="Z93" s="17" t="s">
        <v>63</v>
      </c>
      <c r="AA93" s="8"/>
      <c r="AC93" s="8"/>
      <c r="AE93" s="8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</row>
    <row r="94" spans="2:43" x14ac:dyDescent="0.4">
      <c r="B94" s="16">
        <v>44364</v>
      </c>
      <c r="C94" s="15">
        <v>0.9555555555555556</v>
      </c>
      <c r="D94" s="21">
        <v>44364.955555555556</v>
      </c>
      <c r="E94" s="25">
        <v>92</v>
      </c>
      <c r="F94" s="1">
        <v>5</v>
      </c>
      <c r="G94" s="1">
        <f>VLOOKUP(F94,監督フォーメーション!$A$2:$C$10,3,FALSE)</f>
        <v>3142</v>
      </c>
      <c r="H94" s="1">
        <v>1324</v>
      </c>
      <c r="I94" s="1" t="s">
        <v>9</v>
      </c>
      <c r="J94" s="1">
        <v>4123</v>
      </c>
      <c r="K94" s="9">
        <v>0.49</v>
      </c>
      <c r="L94" s="1">
        <v>5</v>
      </c>
      <c r="M94" s="9">
        <v>0.89</v>
      </c>
      <c r="N94" s="1">
        <f t="shared" si="4"/>
        <v>2</v>
      </c>
      <c r="O94" s="1">
        <f t="shared" ref="O94:O157" si="5">COUNTIF(Q94:AG94, "=失点")</f>
        <v>1</v>
      </c>
      <c r="P94" s="1" t="str">
        <f t="shared" si="3"/>
        <v>勝</v>
      </c>
      <c r="Q94" s="8" t="s">
        <v>12</v>
      </c>
      <c r="R94" s="17" t="s">
        <v>23</v>
      </c>
      <c r="S94" s="8" t="s">
        <v>41</v>
      </c>
      <c r="T94" s="17" t="s">
        <v>23</v>
      </c>
      <c r="U94" s="8" t="s">
        <v>41</v>
      </c>
      <c r="V94" s="17" t="s">
        <v>23</v>
      </c>
      <c r="W94" s="8"/>
      <c r="Y94" s="8"/>
      <c r="AA94" s="8"/>
      <c r="AC94" s="8"/>
      <c r="AE94" s="8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</row>
    <row r="95" spans="2:43" x14ac:dyDescent="0.4">
      <c r="B95" s="16">
        <v>44364</v>
      </c>
      <c r="C95" s="15">
        <v>0.96250000000000002</v>
      </c>
      <c r="D95" s="21">
        <v>44364.962500000001</v>
      </c>
      <c r="E95" s="25">
        <v>93</v>
      </c>
      <c r="F95" s="1">
        <v>5</v>
      </c>
      <c r="G95" s="1">
        <f>VLOOKUP(F95,監督フォーメーション!$A$2:$C$10,3,FALSE)</f>
        <v>3142</v>
      </c>
      <c r="H95" s="1">
        <v>1324</v>
      </c>
      <c r="I95" s="1" t="s">
        <v>9</v>
      </c>
      <c r="J95" s="1">
        <v>4222</v>
      </c>
      <c r="K95" s="9">
        <v>0.54</v>
      </c>
      <c r="L95" s="1">
        <v>4</v>
      </c>
      <c r="M95" s="9">
        <v>0.84</v>
      </c>
      <c r="N95" s="1">
        <f t="shared" si="4"/>
        <v>1</v>
      </c>
      <c r="O95" s="1">
        <f t="shared" si="5"/>
        <v>1</v>
      </c>
      <c r="P95" s="1" t="str">
        <f t="shared" si="3"/>
        <v>引</v>
      </c>
      <c r="Q95" s="8" t="s">
        <v>12</v>
      </c>
      <c r="R95" s="17" t="s">
        <v>23</v>
      </c>
      <c r="S95" s="8" t="s">
        <v>49</v>
      </c>
      <c r="T95" s="17" t="s">
        <v>46</v>
      </c>
      <c r="U95" s="8"/>
      <c r="W95" s="8"/>
      <c r="Y95" s="8"/>
      <c r="AA95" s="8"/>
      <c r="AC95" s="8"/>
      <c r="AE95" s="8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</row>
    <row r="96" spans="2:43" x14ac:dyDescent="0.4">
      <c r="B96" s="16">
        <v>44364</v>
      </c>
      <c r="C96" s="15">
        <v>0.96319444444444446</v>
      </c>
      <c r="D96" s="21">
        <v>44364.963194444441</v>
      </c>
      <c r="E96" s="25">
        <v>94</v>
      </c>
      <c r="F96" s="1">
        <v>5</v>
      </c>
      <c r="G96" s="1">
        <f>VLOOKUP(F96,監督フォーメーション!$A$2:$C$10,3,FALSE)</f>
        <v>3142</v>
      </c>
      <c r="H96" s="1">
        <v>1324</v>
      </c>
      <c r="I96" s="1" t="s">
        <v>9</v>
      </c>
      <c r="J96" s="1">
        <v>433</v>
      </c>
      <c r="K96" s="9">
        <v>0.48</v>
      </c>
      <c r="L96" s="1">
        <v>7</v>
      </c>
      <c r="M96" s="9">
        <v>0.9</v>
      </c>
      <c r="N96" s="1">
        <f t="shared" si="4"/>
        <v>3</v>
      </c>
      <c r="O96" s="1">
        <f t="shared" si="5"/>
        <v>0</v>
      </c>
      <c r="P96" s="1" t="str">
        <f t="shared" si="3"/>
        <v>勝</v>
      </c>
      <c r="Q96" s="8" t="s">
        <v>49</v>
      </c>
      <c r="R96" s="17" t="s">
        <v>42</v>
      </c>
      <c r="S96" s="8" t="s">
        <v>49</v>
      </c>
      <c r="T96" s="17" t="s">
        <v>46</v>
      </c>
      <c r="U96" s="8" t="s">
        <v>43</v>
      </c>
      <c r="V96" s="17" t="s">
        <v>49</v>
      </c>
      <c r="W96" s="8"/>
      <c r="Y96" s="8"/>
      <c r="AA96" s="8"/>
      <c r="AC96" s="8"/>
      <c r="AE96" s="8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</row>
    <row r="97" spans="2:43" x14ac:dyDescent="0.4">
      <c r="B97" s="16">
        <v>44364</v>
      </c>
      <c r="C97" s="15">
        <v>0.97013888888888899</v>
      </c>
      <c r="D97" s="21">
        <v>44364.970138888886</v>
      </c>
      <c r="E97" s="25">
        <v>95</v>
      </c>
      <c r="F97" s="1">
        <v>5</v>
      </c>
      <c r="G97" s="1">
        <f>VLOOKUP(F97,監督フォーメーション!$A$2:$C$10,3,FALSE)</f>
        <v>3142</v>
      </c>
      <c r="H97" s="1">
        <v>1324</v>
      </c>
      <c r="I97" s="1" t="s">
        <v>9</v>
      </c>
      <c r="J97" s="1">
        <v>4213</v>
      </c>
      <c r="K97" s="9">
        <v>0.52</v>
      </c>
      <c r="L97" s="1">
        <v>6</v>
      </c>
      <c r="M97" s="9">
        <v>0.85</v>
      </c>
      <c r="N97" s="1">
        <f t="shared" si="4"/>
        <v>4</v>
      </c>
      <c r="O97" s="1">
        <f t="shared" si="5"/>
        <v>0</v>
      </c>
      <c r="P97" s="1" t="str">
        <f t="shared" si="3"/>
        <v>勝</v>
      </c>
      <c r="Q97" s="8" t="s">
        <v>41</v>
      </c>
      <c r="R97" s="17" t="s">
        <v>42</v>
      </c>
      <c r="S97" s="8" t="s">
        <v>41</v>
      </c>
      <c r="T97" s="17" t="s">
        <v>23</v>
      </c>
      <c r="U97" s="8" t="s">
        <v>40</v>
      </c>
      <c r="V97" s="17" t="s">
        <v>41</v>
      </c>
      <c r="W97" s="8" t="s">
        <v>43</v>
      </c>
      <c r="X97" s="17" t="s">
        <v>54</v>
      </c>
      <c r="Y97" s="8"/>
      <c r="AA97" s="8"/>
      <c r="AC97" s="8"/>
      <c r="AE97" s="8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</row>
    <row r="98" spans="2:43" x14ac:dyDescent="0.4">
      <c r="B98" s="16">
        <v>44365</v>
      </c>
      <c r="C98" s="15">
        <v>0.40833333333333338</v>
      </c>
      <c r="D98" s="21">
        <v>44365.408333333333</v>
      </c>
      <c r="E98" s="25">
        <v>96</v>
      </c>
      <c r="F98" s="1">
        <v>5</v>
      </c>
      <c r="G98" s="1">
        <f>VLOOKUP(F98,監督フォーメーション!$A$2:$C$10,3,FALSE)</f>
        <v>3142</v>
      </c>
      <c r="H98" s="1">
        <v>1324</v>
      </c>
      <c r="I98" s="1" t="s">
        <v>9</v>
      </c>
      <c r="J98" s="1">
        <v>4213</v>
      </c>
      <c r="K98" s="9">
        <v>0.53</v>
      </c>
      <c r="L98" s="1">
        <v>6</v>
      </c>
      <c r="M98" s="9">
        <v>0.93</v>
      </c>
      <c r="N98" s="1">
        <f t="shared" si="4"/>
        <v>5</v>
      </c>
      <c r="O98" s="1">
        <f t="shared" si="5"/>
        <v>1</v>
      </c>
      <c r="P98" s="1" t="str">
        <f t="shared" si="3"/>
        <v>勝</v>
      </c>
      <c r="Q98" s="8" t="s">
        <v>12</v>
      </c>
      <c r="R98" s="17" t="s">
        <v>23</v>
      </c>
      <c r="S98" s="8" t="s">
        <v>43</v>
      </c>
      <c r="T98" s="17" t="s">
        <v>44</v>
      </c>
      <c r="U98" s="8" t="s">
        <v>41</v>
      </c>
      <c r="V98" s="17" t="s">
        <v>46</v>
      </c>
      <c r="W98" s="8" t="s">
        <v>42</v>
      </c>
      <c r="X98" s="17" t="s">
        <v>63</v>
      </c>
      <c r="Y98" s="8" t="s">
        <v>41</v>
      </c>
      <c r="Z98" s="17" t="s">
        <v>46</v>
      </c>
      <c r="AA98" s="8" t="s">
        <v>57</v>
      </c>
      <c r="AB98" s="17" t="s">
        <v>63</v>
      </c>
      <c r="AC98" s="8"/>
      <c r="AE98" s="8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</row>
    <row r="99" spans="2:43" x14ac:dyDescent="0.4">
      <c r="B99" s="16">
        <v>44365</v>
      </c>
      <c r="C99" s="15">
        <v>0.42430555555555555</v>
      </c>
      <c r="D99" s="21">
        <v>44365.424305555556</v>
      </c>
      <c r="E99" s="25">
        <v>97</v>
      </c>
      <c r="F99" s="1">
        <v>5</v>
      </c>
      <c r="G99" s="1">
        <f>VLOOKUP(F99,監督フォーメーション!$A$2:$C$10,3,FALSE)</f>
        <v>3142</v>
      </c>
      <c r="H99" s="1">
        <v>1324</v>
      </c>
      <c r="I99" s="1">
        <v>1320</v>
      </c>
      <c r="J99" s="1">
        <v>4312</v>
      </c>
      <c r="K99" s="9">
        <v>0.61</v>
      </c>
      <c r="L99" s="1">
        <v>3</v>
      </c>
      <c r="M99" s="9">
        <v>0.85</v>
      </c>
      <c r="N99" s="1">
        <f t="shared" si="4"/>
        <v>2</v>
      </c>
      <c r="O99" s="1">
        <f t="shared" si="5"/>
        <v>2</v>
      </c>
      <c r="P99" s="1" t="str">
        <f t="shared" si="3"/>
        <v>引</v>
      </c>
      <c r="Q99" s="8" t="s">
        <v>43</v>
      </c>
      <c r="R99" s="17" t="s">
        <v>63</v>
      </c>
      <c r="S99" s="8" t="s">
        <v>12</v>
      </c>
      <c r="T99" s="17" t="s">
        <v>23</v>
      </c>
      <c r="U99" s="8" t="s">
        <v>12</v>
      </c>
      <c r="V99" s="17" t="s">
        <v>23</v>
      </c>
      <c r="W99" s="8" t="s">
        <v>59</v>
      </c>
      <c r="X99" s="17" t="s">
        <v>49</v>
      </c>
      <c r="Y99" s="8"/>
      <c r="AA99" s="8"/>
      <c r="AC99" s="8"/>
      <c r="AE99" s="8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</row>
    <row r="100" spans="2:43" x14ac:dyDescent="0.4">
      <c r="B100" s="16">
        <v>44365</v>
      </c>
      <c r="C100" s="15">
        <v>0.43194444444444446</v>
      </c>
      <c r="D100" s="21">
        <v>44365.431944444441</v>
      </c>
      <c r="E100" s="25">
        <v>98</v>
      </c>
      <c r="F100" s="1">
        <v>5</v>
      </c>
      <c r="G100" s="1">
        <f>VLOOKUP(F100,監督フォーメーション!$A$2:$C$10,3,FALSE)</f>
        <v>3142</v>
      </c>
      <c r="H100" s="1">
        <v>1325</v>
      </c>
      <c r="I100" s="1">
        <v>1322</v>
      </c>
      <c r="J100" s="1">
        <v>343</v>
      </c>
      <c r="K100" s="9">
        <v>0.51</v>
      </c>
      <c r="L100" s="1">
        <v>7</v>
      </c>
      <c r="M100" s="9">
        <v>0.87</v>
      </c>
      <c r="N100" s="1">
        <f t="shared" si="4"/>
        <v>3</v>
      </c>
      <c r="O100" s="1">
        <f t="shared" si="5"/>
        <v>2</v>
      </c>
      <c r="P100" s="1" t="str">
        <f t="shared" si="3"/>
        <v>勝</v>
      </c>
      <c r="Q100" s="8" t="s">
        <v>12</v>
      </c>
      <c r="R100" s="17" t="s">
        <v>23</v>
      </c>
      <c r="S100" s="8" t="s">
        <v>44</v>
      </c>
      <c r="T100" s="17" t="s">
        <v>63</v>
      </c>
      <c r="U100" s="8" t="s">
        <v>12</v>
      </c>
      <c r="V100" s="17" t="s">
        <v>23</v>
      </c>
      <c r="W100" s="8" t="s">
        <v>43</v>
      </c>
      <c r="X100" s="17" t="s">
        <v>42</v>
      </c>
      <c r="Y100" s="8" t="s">
        <v>42</v>
      </c>
      <c r="Z100" s="17" t="s">
        <v>41</v>
      </c>
      <c r="AA100" s="8"/>
      <c r="AC100" s="8"/>
      <c r="AE100" s="8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</row>
    <row r="101" spans="2:43" x14ac:dyDescent="0.4">
      <c r="B101" s="16">
        <v>44365</v>
      </c>
      <c r="C101" s="15">
        <v>0.44166666666666665</v>
      </c>
      <c r="D101" s="21">
        <v>44365.441666666666</v>
      </c>
      <c r="E101" s="25">
        <v>99</v>
      </c>
      <c r="F101" s="1">
        <v>5</v>
      </c>
      <c r="G101" s="1">
        <f>VLOOKUP(F101,監督フォーメーション!$A$2:$C$10,3,FALSE)</f>
        <v>3142</v>
      </c>
      <c r="H101" s="1">
        <v>1333</v>
      </c>
      <c r="I101" s="1">
        <v>1100</v>
      </c>
      <c r="J101" s="1">
        <v>4312</v>
      </c>
      <c r="K101" s="9">
        <v>0.56000000000000005</v>
      </c>
      <c r="L101" s="1">
        <v>6</v>
      </c>
      <c r="M101" s="9">
        <v>0.82</v>
      </c>
      <c r="N101" s="1">
        <f t="shared" si="4"/>
        <v>3</v>
      </c>
      <c r="O101" s="1">
        <f t="shared" si="5"/>
        <v>2</v>
      </c>
      <c r="P101" s="1" t="str">
        <f t="shared" si="3"/>
        <v>勝</v>
      </c>
      <c r="Q101" s="8" t="s">
        <v>42</v>
      </c>
      <c r="R101" s="17" t="s">
        <v>43</v>
      </c>
      <c r="S101" s="8" t="s">
        <v>12</v>
      </c>
      <c r="T101" s="17" t="s">
        <v>23</v>
      </c>
      <c r="U101" s="8" t="s">
        <v>42</v>
      </c>
      <c r="V101" s="17" t="s">
        <v>41</v>
      </c>
      <c r="W101" s="8" t="s">
        <v>12</v>
      </c>
      <c r="X101" s="17" t="s">
        <v>23</v>
      </c>
      <c r="Y101" s="8" t="s">
        <v>41</v>
      </c>
      <c r="Z101" s="17" t="s">
        <v>49</v>
      </c>
      <c r="AA101" s="8"/>
      <c r="AC101" s="8"/>
      <c r="AE101" s="8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</row>
    <row r="102" spans="2:43" x14ac:dyDescent="0.4">
      <c r="B102" s="16">
        <v>44365</v>
      </c>
      <c r="C102" s="15">
        <v>0.45208333333333334</v>
      </c>
      <c r="D102" s="21">
        <v>44365.45208333333</v>
      </c>
      <c r="E102" s="25">
        <v>100</v>
      </c>
      <c r="F102" s="1">
        <v>5</v>
      </c>
      <c r="G102" s="1">
        <f>VLOOKUP(F102,監督フォーメーション!$A$2:$C$10,3,FALSE)</f>
        <v>3142</v>
      </c>
      <c r="H102" s="1">
        <v>1338</v>
      </c>
      <c r="I102" s="1" t="s">
        <v>9</v>
      </c>
      <c r="J102" s="1">
        <v>4312</v>
      </c>
      <c r="K102" s="9">
        <v>0.47</v>
      </c>
      <c r="L102" s="1">
        <v>4</v>
      </c>
      <c r="M102" s="9">
        <v>0.87</v>
      </c>
      <c r="N102" s="1">
        <f t="shared" si="4"/>
        <v>0</v>
      </c>
      <c r="O102" s="1">
        <f t="shared" si="5"/>
        <v>1</v>
      </c>
      <c r="P102" s="1" t="str">
        <f t="shared" si="3"/>
        <v>負</v>
      </c>
      <c r="Q102" s="8" t="s">
        <v>12</v>
      </c>
      <c r="R102" s="17" t="s">
        <v>23</v>
      </c>
      <c r="S102" s="8"/>
      <c r="U102" s="8"/>
      <c r="W102" s="8"/>
      <c r="Y102" s="8"/>
      <c r="AA102" s="8"/>
      <c r="AC102" s="8"/>
      <c r="AE102" s="8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</row>
    <row r="103" spans="2:43" x14ac:dyDescent="0.4">
      <c r="B103" s="16">
        <v>44365</v>
      </c>
      <c r="C103" s="15">
        <v>0.56527777777777777</v>
      </c>
      <c r="D103" s="21">
        <v>44365.56527777778</v>
      </c>
      <c r="E103" s="25">
        <v>101</v>
      </c>
      <c r="F103" s="1">
        <v>5</v>
      </c>
      <c r="G103" s="1">
        <f>VLOOKUP(F103,監督フォーメーション!$A$2:$C$10,3,FALSE)</f>
        <v>3142</v>
      </c>
      <c r="H103" s="1">
        <v>1338</v>
      </c>
      <c r="I103" s="1" t="s">
        <v>9</v>
      </c>
      <c r="J103" s="1">
        <v>4213</v>
      </c>
      <c r="K103" s="9">
        <v>0.47</v>
      </c>
      <c r="L103" s="1">
        <v>7</v>
      </c>
      <c r="M103" s="9">
        <v>0.83</v>
      </c>
      <c r="N103" s="1">
        <f t="shared" si="4"/>
        <v>4</v>
      </c>
      <c r="O103" s="1">
        <f t="shared" si="5"/>
        <v>3</v>
      </c>
      <c r="P103" s="1" t="str">
        <f t="shared" si="3"/>
        <v>勝</v>
      </c>
      <c r="Q103" s="8" t="s">
        <v>12</v>
      </c>
      <c r="R103" s="17" t="s">
        <v>23</v>
      </c>
      <c r="S103" s="8" t="s">
        <v>44</v>
      </c>
      <c r="T103" s="17" t="s">
        <v>41</v>
      </c>
      <c r="U103" s="8" t="s">
        <v>41</v>
      </c>
      <c r="V103" s="17" t="s">
        <v>63</v>
      </c>
      <c r="W103" s="8" t="s">
        <v>63</v>
      </c>
      <c r="X103" s="17" t="s">
        <v>43</v>
      </c>
      <c r="Y103" s="8" t="s">
        <v>12</v>
      </c>
      <c r="Z103" s="17" t="s">
        <v>23</v>
      </c>
      <c r="AA103" s="8" t="s">
        <v>12</v>
      </c>
      <c r="AB103" s="17" t="s">
        <v>23</v>
      </c>
      <c r="AC103" s="8" t="s">
        <v>41</v>
      </c>
      <c r="AD103" s="17" t="s">
        <v>23</v>
      </c>
      <c r="AE103" s="8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</row>
    <row r="104" spans="2:43" x14ac:dyDescent="0.4">
      <c r="B104" s="16">
        <v>44365</v>
      </c>
      <c r="C104" s="15">
        <v>0.64861111111111114</v>
      </c>
      <c r="D104" s="21">
        <v>44365.648611111108</v>
      </c>
      <c r="E104" s="25">
        <v>102</v>
      </c>
      <c r="F104" s="1">
        <v>5</v>
      </c>
      <c r="G104" s="1">
        <f>VLOOKUP(F104,監督フォーメーション!$A$2:$C$10,3,FALSE)</f>
        <v>3142</v>
      </c>
      <c r="H104" s="1">
        <v>1338</v>
      </c>
      <c r="I104" s="1" t="s">
        <v>9</v>
      </c>
      <c r="J104" s="1">
        <v>4213</v>
      </c>
      <c r="K104" s="9">
        <v>0.56000000000000005</v>
      </c>
      <c r="L104" s="1">
        <v>6</v>
      </c>
      <c r="M104" s="9">
        <v>0.87</v>
      </c>
      <c r="N104" s="1">
        <f t="shared" si="4"/>
        <v>2</v>
      </c>
      <c r="O104" s="1">
        <f t="shared" si="5"/>
        <v>1</v>
      </c>
      <c r="P104" s="1" t="str">
        <f t="shared" si="3"/>
        <v>勝</v>
      </c>
      <c r="Q104" s="8" t="s">
        <v>44</v>
      </c>
      <c r="R104" s="17" t="s">
        <v>42</v>
      </c>
      <c r="S104" s="8" t="s">
        <v>12</v>
      </c>
      <c r="T104" s="17" t="s">
        <v>23</v>
      </c>
      <c r="U104" s="8" t="s">
        <v>42</v>
      </c>
      <c r="V104" s="17" t="s">
        <v>44</v>
      </c>
      <c r="W104" s="8"/>
      <c r="Y104" s="8"/>
      <c r="AA104" s="8"/>
      <c r="AC104" s="8"/>
      <c r="AE104" s="8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</row>
    <row r="105" spans="2:43" x14ac:dyDescent="0.4">
      <c r="B105" s="16">
        <v>44365</v>
      </c>
      <c r="C105" s="15">
        <v>0.67638888888888893</v>
      </c>
      <c r="D105" s="21">
        <v>44365.676388888889</v>
      </c>
      <c r="E105" s="25">
        <v>103</v>
      </c>
      <c r="F105" s="1">
        <v>5</v>
      </c>
      <c r="G105" s="1">
        <f>VLOOKUP(F105,監督フォーメーション!$A$2:$C$10,3,FALSE)</f>
        <v>3142</v>
      </c>
      <c r="H105" s="1">
        <v>1338</v>
      </c>
      <c r="I105" s="1" t="s">
        <v>9</v>
      </c>
      <c r="J105" s="1">
        <v>4213</v>
      </c>
      <c r="K105" s="9">
        <v>0.61</v>
      </c>
      <c r="L105" s="1">
        <v>6</v>
      </c>
      <c r="M105" s="9">
        <v>0.79</v>
      </c>
      <c r="N105" s="1">
        <f t="shared" si="4"/>
        <v>1</v>
      </c>
      <c r="O105" s="1">
        <f t="shared" si="5"/>
        <v>0</v>
      </c>
      <c r="P105" s="1" t="str">
        <f t="shared" si="3"/>
        <v>勝</v>
      </c>
      <c r="Q105" s="8" t="s">
        <v>41</v>
      </c>
      <c r="R105" s="17" t="s">
        <v>23</v>
      </c>
      <c r="S105" s="8"/>
      <c r="U105" s="8"/>
      <c r="W105" s="8"/>
      <c r="Y105" s="8"/>
      <c r="AA105" s="8"/>
      <c r="AC105" s="8"/>
      <c r="AE105" s="8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</row>
    <row r="106" spans="2:43" x14ac:dyDescent="0.4">
      <c r="B106" s="16">
        <v>44366</v>
      </c>
      <c r="C106" s="15">
        <v>0.40972222222222227</v>
      </c>
      <c r="D106" s="21">
        <f>B106+C106</f>
        <v>44366.409722222219</v>
      </c>
      <c r="E106" s="25">
        <v>104</v>
      </c>
      <c r="F106" s="1">
        <v>5</v>
      </c>
      <c r="G106" s="1">
        <f>VLOOKUP(F106,監督フォーメーション!$A$2:$C$10,3,FALSE)</f>
        <v>3142</v>
      </c>
      <c r="H106" s="1">
        <v>1338</v>
      </c>
      <c r="I106" s="1" t="s">
        <v>9</v>
      </c>
      <c r="J106" s="1">
        <v>433</v>
      </c>
      <c r="K106" s="9">
        <v>0.48</v>
      </c>
      <c r="L106" s="1">
        <v>9</v>
      </c>
      <c r="M106" s="9">
        <v>0.87</v>
      </c>
      <c r="N106" s="1">
        <f t="shared" si="4"/>
        <v>4</v>
      </c>
      <c r="O106" s="1">
        <f t="shared" si="5"/>
        <v>2</v>
      </c>
      <c r="P106" s="1" t="str">
        <f t="shared" si="3"/>
        <v>勝</v>
      </c>
      <c r="Q106" s="8" t="s">
        <v>42</v>
      </c>
      <c r="R106" s="17" t="s">
        <v>44</v>
      </c>
      <c r="S106" s="8" t="s">
        <v>12</v>
      </c>
      <c r="T106" s="17" t="s">
        <v>23</v>
      </c>
      <c r="U106" s="8" t="s">
        <v>12</v>
      </c>
      <c r="V106" s="17" t="s">
        <v>23</v>
      </c>
      <c r="W106" s="8" t="s">
        <v>63</v>
      </c>
      <c r="X106" s="17" t="s">
        <v>44</v>
      </c>
      <c r="Y106" s="8" t="s">
        <v>46</v>
      </c>
      <c r="Z106" s="17" t="s">
        <v>44</v>
      </c>
      <c r="AA106" s="8" t="s">
        <v>42</v>
      </c>
      <c r="AB106" s="17" t="s">
        <v>44</v>
      </c>
      <c r="AC106" s="8"/>
      <c r="AE106" s="8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</row>
    <row r="107" spans="2:43" x14ac:dyDescent="0.4">
      <c r="B107" s="16">
        <v>44369</v>
      </c>
      <c r="C107" s="15">
        <v>0.49305555555555558</v>
      </c>
      <c r="D107" s="21">
        <f t="shared" ref="D107:D170" si="6">B107+C107</f>
        <v>44369.493055555555</v>
      </c>
      <c r="E107" s="25">
        <v>105</v>
      </c>
      <c r="F107" s="1">
        <v>7</v>
      </c>
      <c r="G107" s="1">
        <f>VLOOKUP(F107,監督フォーメーション!$A$2:$C$10,3,FALSE)</f>
        <v>3232</v>
      </c>
      <c r="H107" s="1">
        <v>1338</v>
      </c>
      <c r="I107" s="1">
        <v>1097</v>
      </c>
      <c r="J107" s="1">
        <v>5212</v>
      </c>
      <c r="K107" s="9" t="s">
        <v>13</v>
      </c>
      <c r="L107" s="1" t="s">
        <v>13</v>
      </c>
      <c r="M107" s="9" t="s">
        <v>13</v>
      </c>
      <c r="N107" s="1">
        <f t="shared" si="4"/>
        <v>3</v>
      </c>
      <c r="O107" s="1">
        <f t="shared" si="5"/>
        <v>0</v>
      </c>
      <c r="P107" s="1" t="str">
        <f t="shared" si="3"/>
        <v>勝</v>
      </c>
      <c r="Q107" s="8" t="s">
        <v>102</v>
      </c>
      <c r="R107" s="17" t="s">
        <v>23</v>
      </c>
      <c r="S107" s="8" t="s">
        <v>41</v>
      </c>
      <c r="T107" s="17" t="s">
        <v>46</v>
      </c>
      <c r="U107" s="8" t="s">
        <v>100</v>
      </c>
      <c r="V107" s="17" t="s">
        <v>43</v>
      </c>
      <c r="W107" s="8"/>
      <c r="Y107" s="8"/>
      <c r="AA107" s="8"/>
      <c r="AC107" s="8"/>
      <c r="AE107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</row>
    <row r="108" spans="2:43" x14ac:dyDescent="0.4">
      <c r="B108" s="16">
        <v>44379</v>
      </c>
      <c r="C108" s="15">
        <v>0.41250000000000003</v>
      </c>
      <c r="D108" s="21">
        <f t="shared" si="6"/>
        <v>44379.412499999999</v>
      </c>
      <c r="E108" s="25">
        <v>106</v>
      </c>
      <c r="F108" s="1">
        <v>7</v>
      </c>
      <c r="G108" s="1">
        <f>VLOOKUP(F108,監督フォーメーション!$A$2:$C$10,3,FALSE)</f>
        <v>3232</v>
      </c>
      <c r="H108" s="1">
        <v>1343</v>
      </c>
      <c r="I108" s="1" t="s">
        <v>9</v>
      </c>
      <c r="J108" s="1">
        <v>433</v>
      </c>
      <c r="K108" s="9"/>
      <c r="M108" s="9"/>
      <c r="N108" s="1">
        <f t="shared" si="4"/>
        <v>1</v>
      </c>
      <c r="O108" s="1">
        <f t="shared" si="5"/>
        <v>2</v>
      </c>
      <c r="P108" s="1" t="str">
        <f t="shared" si="3"/>
        <v>負</v>
      </c>
      <c r="Q108" s="8" t="s">
        <v>12</v>
      </c>
      <c r="R108" s="17" t="s">
        <v>23</v>
      </c>
      <c r="S108" s="8" t="s">
        <v>12</v>
      </c>
      <c r="T108" s="17" t="s">
        <v>23</v>
      </c>
      <c r="U108" s="8" t="s">
        <v>50</v>
      </c>
      <c r="V108" s="17" t="s">
        <v>40</v>
      </c>
      <c r="W108" s="8"/>
      <c r="Y108" s="8"/>
      <c r="AA108" s="8"/>
      <c r="AC108" s="8"/>
      <c r="AE108" s="8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</row>
    <row r="109" spans="2:43" x14ac:dyDescent="0.4">
      <c r="B109" s="16">
        <v>44380</v>
      </c>
      <c r="C109" s="15">
        <v>0.454166666666667</v>
      </c>
      <c r="D109" s="21">
        <f t="shared" si="6"/>
        <v>44380.45416666667</v>
      </c>
      <c r="E109" s="25">
        <v>107</v>
      </c>
      <c r="F109" s="1">
        <v>7</v>
      </c>
      <c r="G109" s="1">
        <f>VLOOKUP(F109,監督フォーメーション!$A$2:$C$10,3,FALSE)</f>
        <v>3232</v>
      </c>
      <c r="H109" s="1">
        <v>1343</v>
      </c>
      <c r="J109" s="1">
        <v>5221</v>
      </c>
      <c r="K109" s="9">
        <v>0.56000000000000005</v>
      </c>
      <c r="L109" s="1">
        <v>5</v>
      </c>
      <c r="M109" s="9">
        <v>0.82</v>
      </c>
      <c r="N109" s="1">
        <f t="shared" si="4"/>
        <v>3</v>
      </c>
      <c r="O109" s="1">
        <f t="shared" si="5"/>
        <v>0</v>
      </c>
      <c r="P109" s="1" t="str">
        <f t="shared" si="3"/>
        <v>勝</v>
      </c>
      <c r="Q109" s="8" t="s">
        <v>44</v>
      </c>
      <c r="R109" s="17" t="s">
        <v>42</v>
      </c>
      <c r="S109" s="8" t="s">
        <v>41</v>
      </c>
      <c r="T109" s="17" t="s">
        <v>23</v>
      </c>
      <c r="U109" s="8" t="s">
        <v>42</v>
      </c>
      <c r="V109" s="17" t="s">
        <v>44</v>
      </c>
      <c r="W109" s="8"/>
      <c r="Y109" s="8"/>
      <c r="AA109" s="8"/>
      <c r="AC109" s="8"/>
      <c r="AE109" s="8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</row>
    <row r="110" spans="2:43" x14ac:dyDescent="0.4">
      <c r="B110" s="16">
        <v>44385</v>
      </c>
      <c r="C110" s="15">
        <v>0.70694444444444438</v>
      </c>
      <c r="D110" s="21">
        <f t="shared" si="6"/>
        <v>44385.706944444442</v>
      </c>
      <c r="E110" s="25">
        <v>108</v>
      </c>
      <c r="F110" s="1">
        <v>7</v>
      </c>
      <c r="G110" s="1">
        <f>VLOOKUP(F110,監督フォーメーション!$A$2:$C$10,3,FALSE)</f>
        <v>3232</v>
      </c>
      <c r="H110" s="1">
        <v>1350</v>
      </c>
      <c r="I110" s="1">
        <v>1198</v>
      </c>
      <c r="J110" s="1">
        <v>3313</v>
      </c>
      <c r="K110" s="9">
        <v>0.57999999999999996</v>
      </c>
      <c r="L110" s="1">
        <v>9</v>
      </c>
      <c r="M110" s="9">
        <v>0.87</v>
      </c>
      <c r="N110" s="1">
        <f t="shared" si="4"/>
        <v>2</v>
      </c>
      <c r="O110" s="1">
        <f t="shared" si="5"/>
        <v>3</v>
      </c>
      <c r="P110" s="1" t="str">
        <f t="shared" si="3"/>
        <v>負</v>
      </c>
      <c r="Q110" s="8" t="s">
        <v>12</v>
      </c>
      <c r="R110" s="17" t="s">
        <v>23</v>
      </c>
      <c r="S110" s="8" t="s">
        <v>42</v>
      </c>
      <c r="T110" s="17" t="s">
        <v>63</v>
      </c>
      <c r="U110" s="8" t="s">
        <v>12</v>
      </c>
      <c r="V110" s="17" t="s">
        <v>23</v>
      </c>
      <c r="W110" s="8" t="s">
        <v>42</v>
      </c>
      <c r="X110" s="17" t="s">
        <v>23</v>
      </c>
      <c r="Y110" s="8" t="s">
        <v>12</v>
      </c>
      <c r="Z110" s="17" t="s">
        <v>23</v>
      </c>
      <c r="AA110" s="8"/>
      <c r="AC110" s="8"/>
      <c r="AE110" s="8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</row>
    <row r="111" spans="2:43" x14ac:dyDescent="0.4">
      <c r="B111" s="16">
        <v>44385</v>
      </c>
      <c r="C111" s="15">
        <v>0.70763888888888893</v>
      </c>
      <c r="D111" s="21">
        <f t="shared" si="6"/>
        <v>44385.707638888889</v>
      </c>
      <c r="E111" s="25">
        <v>109</v>
      </c>
      <c r="F111" s="1">
        <v>7</v>
      </c>
      <c r="G111" s="1">
        <f>VLOOKUP(F111,監督フォーメーション!$A$2:$C$10,3,FALSE)</f>
        <v>3232</v>
      </c>
      <c r="H111" s="1">
        <v>1335</v>
      </c>
      <c r="J111" s="1">
        <v>4312</v>
      </c>
      <c r="K111" s="9">
        <v>0.49</v>
      </c>
      <c r="L111" s="1">
        <v>4</v>
      </c>
      <c r="M111" s="9">
        <v>0.8</v>
      </c>
      <c r="N111" s="1">
        <f t="shared" si="4"/>
        <v>2</v>
      </c>
      <c r="O111" s="1">
        <f t="shared" si="5"/>
        <v>1</v>
      </c>
      <c r="P111" s="1" t="str">
        <f t="shared" si="3"/>
        <v>勝</v>
      </c>
      <c r="Q111" s="8" t="s">
        <v>42</v>
      </c>
      <c r="R111" s="17" t="s">
        <v>105</v>
      </c>
      <c r="S111" s="8" t="s">
        <v>12</v>
      </c>
      <c r="T111" s="17" t="s">
        <v>23</v>
      </c>
      <c r="U111" s="8" t="s">
        <v>50</v>
      </c>
      <c r="V111" s="17" t="s">
        <v>23</v>
      </c>
      <c r="W111" s="8"/>
      <c r="Y111" s="8"/>
      <c r="AA111" s="8"/>
      <c r="AC111" s="8"/>
      <c r="AE111" s="8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</row>
    <row r="112" spans="2:43" x14ac:dyDescent="0.4">
      <c r="B112" s="16">
        <v>44385</v>
      </c>
      <c r="C112" s="15">
        <v>0.71388888888888891</v>
      </c>
      <c r="D112" s="21">
        <f t="shared" si="6"/>
        <v>44385.713888888888</v>
      </c>
      <c r="E112" s="25">
        <v>110</v>
      </c>
      <c r="F112" s="1">
        <v>7</v>
      </c>
      <c r="G112" s="1">
        <f>VLOOKUP(F112,監督フォーメーション!$A$2:$C$10,3,FALSE)</f>
        <v>3232</v>
      </c>
      <c r="H112" s="1">
        <v>1343</v>
      </c>
      <c r="I112" s="1">
        <v>1200</v>
      </c>
      <c r="J112" s="1">
        <v>4312</v>
      </c>
      <c r="K112" s="9">
        <v>0.53</v>
      </c>
      <c r="L112" s="1">
        <v>5</v>
      </c>
      <c r="M112" s="9">
        <v>0.83</v>
      </c>
      <c r="N112" s="1">
        <f t="shared" si="4"/>
        <v>1</v>
      </c>
      <c r="O112" s="1">
        <f t="shared" si="5"/>
        <v>1</v>
      </c>
      <c r="P112" s="1" t="str">
        <f t="shared" si="3"/>
        <v>引</v>
      </c>
      <c r="Q112" s="8" t="s">
        <v>12</v>
      </c>
      <c r="R112" s="17" t="s">
        <v>23</v>
      </c>
      <c r="S112" s="8" t="s">
        <v>42</v>
      </c>
      <c r="T112" s="17" t="s">
        <v>23</v>
      </c>
      <c r="U112" s="8"/>
      <c r="W112" s="8"/>
      <c r="Y112" s="8"/>
      <c r="AA112" s="8"/>
      <c r="AC112" s="8"/>
      <c r="AE112" s="8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</row>
    <row r="113" spans="2:43" x14ac:dyDescent="0.4">
      <c r="B113" s="16">
        <v>44385</v>
      </c>
      <c r="C113" s="15">
        <v>0.71458333333333324</v>
      </c>
      <c r="D113" s="21">
        <f t="shared" si="6"/>
        <v>44385.714583333334</v>
      </c>
      <c r="E113" s="25">
        <v>111</v>
      </c>
      <c r="F113" s="1">
        <v>7</v>
      </c>
      <c r="G113" s="1">
        <f>VLOOKUP(F113,監督フォーメーション!$A$2:$C$10,3,FALSE)</f>
        <v>3232</v>
      </c>
      <c r="H113" s="1">
        <v>1337</v>
      </c>
      <c r="I113" s="1">
        <v>1504</v>
      </c>
      <c r="J113" s="1">
        <v>3232</v>
      </c>
      <c r="K113" s="9" t="s">
        <v>13</v>
      </c>
      <c r="L113" s="1" t="s">
        <v>13</v>
      </c>
      <c r="M113" s="9" t="s">
        <v>13</v>
      </c>
      <c r="N113" s="1">
        <f t="shared" si="4"/>
        <v>3</v>
      </c>
      <c r="O113" s="1">
        <f t="shared" si="5"/>
        <v>1</v>
      </c>
      <c r="P113" s="1" t="str">
        <f t="shared" si="3"/>
        <v>勝</v>
      </c>
      <c r="Q113" s="8" t="s">
        <v>44</v>
      </c>
      <c r="R113" s="17" t="s">
        <v>41</v>
      </c>
      <c r="S113" s="8" t="s">
        <v>12</v>
      </c>
      <c r="T113" s="17" t="s">
        <v>23</v>
      </c>
      <c r="U113" s="8" t="s">
        <v>42</v>
      </c>
      <c r="V113" s="17" t="s">
        <v>41</v>
      </c>
      <c r="W113" s="8" t="s">
        <v>50</v>
      </c>
      <c r="X113" s="17" t="s">
        <v>105</v>
      </c>
      <c r="Y113" s="8"/>
      <c r="Z113"/>
      <c r="AA113" s="8"/>
      <c r="AC113" s="8"/>
      <c r="AE113" s="8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</row>
    <row r="114" spans="2:43" x14ac:dyDescent="0.4">
      <c r="B114" s="16">
        <v>44385</v>
      </c>
      <c r="C114" s="15">
        <v>0.72083333333333333</v>
      </c>
      <c r="D114" s="21">
        <f t="shared" si="6"/>
        <v>44385.720833333333</v>
      </c>
      <c r="E114" s="25">
        <v>112</v>
      </c>
      <c r="F114" s="1">
        <v>7</v>
      </c>
      <c r="G114" s="1">
        <f>VLOOKUP(F114,監督フォーメーション!$A$2:$C$10,3,FALSE)</f>
        <v>3232</v>
      </c>
      <c r="H114" s="1">
        <v>1354</v>
      </c>
      <c r="I114" s="1">
        <v>1256</v>
      </c>
      <c r="J114" s="1">
        <v>4213</v>
      </c>
      <c r="K114" s="9" t="s">
        <v>13</v>
      </c>
      <c r="L114" s="1" t="s">
        <v>13</v>
      </c>
      <c r="M114" s="9" t="s">
        <v>13</v>
      </c>
      <c r="N114" s="1">
        <f t="shared" si="4"/>
        <v>3</v>
      </c>
      <c r="O114" s="1">
        <f t="shared" si="5"/>
        <v>1</v>
      </c>
      <c r="P114" s="1" t="str">
        <f t="shared" si="3"/>
        <v>勝</v>
      </c>
      <c r="Q114" s="8" t="s">
        <v>12</v>
      </c>
      <c r="R114" s="17" t="s">
        <v>23</v>
      </c>
      <c r="S114" s="8" t="s">
        <v>42</v>
      </c>
      <c r="T114" s="17" t="s">
        <v>41</v>
      </c>
      <c r="U114" s="8" t="s">
        <v>44</v>
      </c>
      <c r="V114" s="17" t="s">
        <v>46</v>
      </c>
      <c r="W114" s="8" t="s">
        <v>42</v>
      </c>
      <c r="X114" s="17" t="s">
        <v>44</v>
      </c>
      <c r="Y114" s="8"/>
      <c r="AA114" s="8"/>
      <c r="AC114" s="8"/>
      <c r="AE114" s="8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</row>
    <row r="115" spans="2:43" x14ac:dyDescent="0.4">
      <c r="B115" s="16">
        <v>44385</v>
      </c>
      <c r="C115" s="15">
        <v>0.72499999999999998</v>
      </c>
      <c r="D115" s="21">
        <f t="shared" si="6"/>
        <v>44385.724999999999</v>
      </c>
      <c r="E115" s="25">
        <v>113</v>
      </c>
      <c r="F115" s="1">
        <v>7</v>
      </c>
      <c r="G115" s="1">
        <f>VLOOKUP(F115,監督フォーメーション!$A$2:$C$10,3,FALSE)</f>
        <v>3232</v>
      </c>
      <c r="H115" s="1">
        <v>1363</v>
      </c>
      <c r="I115" s="1">
        <v>1395</v>
      </c>
      <c r="J115" s="1">
        <v>433</v>
      </c>
      <c r="K115" s="9">
        <v>0.46</v>
      </c>
      <c r="L115" s="1">
        <v>3</v>
      </c>
      <c r="M115" s="9">
        <v>0.81</v>
      </c>
      <c r="N115" s="1">
        <f t="shared" si="4"/>
        <v>0</v>
      </c>
      <c r="O115" s="1">
        <f t="shared" si="5"/>
        <v>4</v>
      </c>
      <c r="P115" s="1" t="str">
        <f t="shared" si="3"/>
        <v>負</v>
      </c>
      <c r="Q115" s="8" t="s">
        <v>12</v>
      </c>
      <c r="R115" s="17" t="s">
        <v>23</v>
      </c>
      <c r="S115" s="8" t="s">
        <v>12</v>
      </c>
      <c r="T115" s="17" t="s">
        <v>23</v>
      </c>
      <c r="U115" s="8" t="s">
        <v>12</v>
      </c>
      <c r="V115" s="17" t="s">
        <v>23</v>
      </c>
      <c r="W115" s="8" t="s">
        <v>12</v>
      </c>
      <c r="X115" s="17" t="s">
        <v>23</v>
      </c>
      <c r="Y115" s="8"/>
      <c r="AA115" s="8"/>
      <c r="AC115" s="8"/>
      <c r="AE115" s="8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</row>
    <row r="116" spans="2:43" x14ac:dyDescent="0.4">
      <c r="B116" s="16">
        <v>44385</v>
      </c>
      <c r="C116" s="15">
        <v>0.7319444444444444</v>
      </c>
      <c r="D116" s="21">
        <f t="shared" si="6"/>
        <v>44385.731944444444</v>
      </c>
      <c r="E116" s="25">
        <v>114</v>
      </c>
      <c r="F116" s="1">
        <v>7</v>
      </c>
      <c r="G116" s="1">
        <f>VLOOKUP(F116,監督フォーメーション!$A$2:$C$10,3,FALSE)</f>
        <v>3232</v>
      </c>
      <c r="H116" s="1">
        <v>1350</v>
      </c>
      <c r="I116" s="1">
        <v>1383</v>
      </c>
      <c r="J116" s="1">
        <v>4312</v>
      </c>
      <c r="K116" s="9" t="s">
        <v>13</v>
      </c>
      <c r="L116" s="1" t="s">
        <v>13</v>
      </c>
      <c r="M116" s="9" t="s">
        <v>13</v>
      </c>
      <c r="N116" s="1">
        <f t="shared" si="4"/>
        <v>2</v>
      </c>
      <c r="O116" s="1">
        <f t="shared" si="5"/>
        <v>1</v>
      </c>
      <c r="P116" s="1" t="str">
        <f t="shared" si="3"/>
        <v>勝</v>
      </c>
      <c r="Q116" s="8" t="s">
        <v>42</v>
      </c>
      <c r="R116" s="17" t="s">
        <v>63</v>
      </c>
      <c r="S116" s="8" t="s">
        <v>12</v>
      </c>
      <c r="T116" s="17" t="s">
        <v>23</v>
      </c>
      <c r="U116" s="8" t="s">
        <v>42</v>
      </c>
      <c r="V116" s="17" t="s">
        <v>23</v>
      </c>
      <c r="W116" s="8"/>
      <c r="Y116" s="8"/>
      <c r="AA116" s="8"/>
      <c r="AC116" s="8"/>
      <c r="AE116" s="8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</row>
    <row r="117" spans="2:43" x14ac:dyDescent="0.4">
      <c r="B117" s="16">
        <v>44385</v>
      </c>
      <c r="C117" s="15">
        <v>0.73749999999999993</v>
      </c>
      <c r="D117" s="21">
        <f t="shared" si="6"/>
        <v>44385.737500000003</v>
      </c>
      <c r="E117" s="25">
        <v>115</v>
      </c>
      <c r="F117" s="1">
        <v>7</v>
      </c>
      <c r="G117" s="1">
        <f>VLOOKUP(F117,監督フォーメーション!$A$2:$C$10,3,FALSE)</f>
        <v>3232</v>
      </c>
      <c r="H117" s="1">
        <v>1363</v>
      </c>
      <c r="I117" s="1">
        <v>1400</v>
      </c>
      <c r="J117" s="1">
        <v>4312</v>
      </c>
      <c r="K117" s="9" t="s">
        <v>13</v>
      </c>
      <c r="L117" s="1" t="s">
        <v>13</v>
      </c>
      <c r="M117" s="9" t="s">
        <v>13</v>
      </c>
      <c r="N117" s="1">
        <f t="shared" si="4"/>
        <v>2</v>
      </c>
      <c r="O117" s="1">
        <f t="shared" si="5"/>
        <v>0</v>
      </c>
      <c r="P117" s="1" t="str">
        <f t="shared" si="3"/>
        <v>勝</v>
      </c>
      <c r="Q117" s="8" t="s">
        <v>42</v>
      </c>
      <c r="R117" s="17" t="s">
        <v>47</v>
      </c>
      <c r="S117" s="8" t="s">
        <v>44</v>
      </c>
      <c r="T117" s="17" t="s">
        <v>41</v>
      </c>
      <c r="U117" s="8"/>
      <c r="W117" s="8"/>
      <c r="Y117" s="8"/>
      <c r="AA117" s="8"/>
      <c r="AC117" s="8"/>
      <c r="AE117" s="8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</row>
    <row r="118" spans="2:43" x14ac:dyDescent="0.4">
      <c r="B118" s="16">
        <v>44385</v>
      </c>
      <c r="C118" s="15">
        <v>0.7416666666666667</v>
      </c>
      <c r="D118" s="21">
        <f t="shared" si="6"/>
        <v>44385.741666666669</v>
      </c>
      <c r="E118" s="25">
        <v>116</v>
      </c>
      <c r="F118" s="1">
        <v>7</v>
      </c>
      <c r="G118" s="1">
        <f>VLOOKUP(F118,監督フォーメーション!$A$2:$C$10,3,FALSE)</f>
        <v>3232</v>
      </c>
      <c r="H118" s="1">
        <v>1372</v>
      </c>
      <c r="I118" s="1">
        <v>1299</v>
      </c>
      <c r="J118" s="1">
        <v>5212</v>
      </c>
      <c r="K118" s="9">
        <v>0.52</v>
      </c>
      <c r="L118" s="1">
        <v>1</v>
      </c>
      <c r="M118" s="9">
        <v>0.87</v>
      </c>
      <c r="N118" s="1">
        <f t="shared" si="4"/>
        <v>0</v>
      </c>
      <c r="O118" s="1">
        <f t="shared" si="5"/>
        <v>1</v>
      </c>
      <c r="P118" s="1" t="str">
        <f t="shared" si="3"/>
        <v>負</v>
      </c>
      <c r="Q118" s="8" t="s">
        <v>12</v>
      </c>
      <c r="R118" s="17" t="s">
        <v>23</v>
      </c>
      <c r="S118" s="8"/>
      <c r="U118" s="8"/>
      <c r="W118" s="8"/>
      <c r="Y118" s="8"/>
      <c r="AA118" s="8"/>
      <c r="AC118" s="8"/>
      <c r="AE118" s="8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</row>
    <row r="119" spans="2:43" x14ac:dyDescent="0.4">
      <c r="B119" s="16">
        <v>44385</v>
      </c>
      <c r="C119" s="15">
        <v>0.74861111111111101</v>
      </c>
      <c r="D119" s="21">
        <f t="shared" si="6"/>
        <v>44385.748611111114</v>
      </c>
      <c r="E119" s="25">
        <v>117</v>
      </c>
      <c r="F119" s="1">
        <v>7</v>
      </c>
      <c r="G119" s="1">
        <f>VLOOKUP(F119,監督フォーメーション!$A$2:$C$10,3,FALSE)</f>
        <v>3232</v>
      </c>
      <c r="H119" s="1">
        <v>1359</v>
      </c>
      <c r="I119" s="1">
        <v>1247</v>
      </c>
      <c r="J119" s="1">
        <v>3232</v>
      </c>
      <c r="K119" s="9">
        <v>0.55000000000000004</v>
      </c>
      <c r="L119" s="1">
        <v>7</v>
      </c>
      <c r="M119" s="9">
        <v>0.82</v>
      </c>
      <c r="N119" s="1">
        <f t="shared" si="4"/>
        <v>2</v>
      </c>
      <c r="O119" s="1">
        <f t="shared" si="5"/>
        <v>2</v>
      </c>
      <c r="P119" s="1" t="str">
        <f t="shared" si="3"/>
        <v>引</v>
      </c>
      <c r="Q119" s="8" t="s">
        <v>41</v>
      </c>
      <c r="R119" s="17" t="s">
        <v>23</v>
      </c>
      <c r="S119" s="8" t="s">
        <v>12</v>
      </c>
      <c r="T119" s="17" t="s">
        <v>23</v>
      </c>
      <c r="U119" s="8" t="s">
        <v>44</v>
      </c>
      <c r="V119" s="17" t="s">
        <v>41</v>
      </c>
      <c r="W119" s="8" t="s">
        <v>12</v>
      </c>
      <c r="X119" s="17" t="s">
        <v>23</v>
      </c>
      <c r="Y119" s="8"/>
      <c r="AA119" s="8"/>
      <c r="AC119" s="8"/>
      <c r="AE119" s="8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</row>
    <row r="120" spans="2:43" x14ac:dyDescent="0.4">
      <c r="B120" s="16">
        <v>44385</v>
      </c>
      <c r="C120" s="15">
        <v>0.75624999999999998</v>
      </c>
      <c r="D120" s="21">
        <f t="shared" si="6"/>
        <v>44385.756249999999</v>
      </c>
      <c r="E120" s="25">
        <v>118</v>
      </c>
      <c r="F120" s="1">
        <v>7</v>
      </c>
      <c r="G120" s="1">
        <f>VLOOKUP(F120,監督フォーメーション!$A$2:$C$10,3,FALSE)</f>
        <v>3232</v>
      </c>
      <c r="H120" s="1">
        <v>1356</v>
      </c>
      <c r="I120" s="1">
        <v>1333</v>
      </c>
      <c r="J120" s="1">
        <v>3232</v>
      </c>
      <c r="K120" s="9">
        <v>0.55000000000000004</v>
      </c>
      <c r="L120" s="1">
        <v>3</v>
      </c>
      <c r="M120" s="9">
        <v>0.86</v>
      </c>
      <c r="N120" s="1">
        <f t="shared" si="4"/>
        <v>2</v>
      </c>
      <c r="O120" s="1">
        <f t="shared" si="5"/>
        <v>4</v>
      </c>
      <c r="P120" s="1" t="str">
        <f t="shared" si="3"/>
        <v>負</v>
      </c>
      <c r="Q120" s="8" t="s">
        <v>12</v>
      </c>
      <c r="R120" s="17" t="s">
        <v>23</v>
      </c>
      <c r="S120" s="8" t="s">
        <v>12</v>
      </c>
      <c r="T120" s="17" t="s">
        <v>23</v>
      </c>
      <c r="U120" s="8" t="s">
        <v>41</v>
      </c>
      <c r="V120" s="17" t="s">
        <v>42</v>
      </c>
      <c r="W120" s="8" t="s">
        <v>41</v>
      </c>
      <c r="X120" s="17" t="s">
        <v>42</v>
      </c>
      <c r="Y120" s="8" t="s">
        <v>12</v>
      </c>
      <c r="Z120" s="17" t="s">
        <v>23</v>
      </c>
      <c r="AA120" s="8" t="s">
        <v>12</v>
      </c>
      <c r="AB120" s="17" t="s">
        <v>23</v>
      </c>
      <c r="AC120" s="8"/>
      <c r="AE120" s="8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</row>
    <row r="121" spans="2:43" x14ac:dyDescent="0.4">
      <c r="B121" s="16">
        <v>44385</v>
      </c>
      <c r="C121" s="15">
        <v>0.76388888888888884</v>
      </c>
      <c r="D121" s="21">
        <f t="shared" si="6"/>
        <v>44385.763888888891</v>
      </c>
      <c r="E121" s="25">
        <v>119</v>
      </c>
      <c r="F121" s="1">
        <v>7</v>
      </c>
      <c r="G121" s="1">
        <f>VLOOKUP(F121,監督フォーメーション!$A$2:$C$10,3,FALSE)</f>
        <v>3232</v>
      </c>
      <c r="H121" s="1">
        <v>1351</v>
      </c>
      <c r="I121" s="1">
        <v>1405</v>
      </c>
      <c r="J121" s="1">
        <v>4123</v>
      </c>
      <c r="K121" s="9">
        <v>0.51</v>
      </c>
      <c r="L121" s="1">
        <v>6</v>
      </c>
      <c r="M121" s="9">
        <v>0.79</v>
      </c>
      <c r="N121" s="1">
        <f t="shared" si="4"/>
        <v>2</v>
      </c>
      <c r="O121" s="1">
        <f t="shared" si="5"/>
        <v>3</v>
      </c>
      <c r="P121" s="1" t="str">
        <f t="shared" si="3"/>
        <v>負</v>
      </c>
      <c r="Q121" s="8" t="s">
        <v>12</v>
      </c>
      <c r="R121" s="17" t="s">
        <v>23</v>
      </c>
      <c r="S121" s="8" t="s">
        <v>12</v>
      </c>
      <c r="T121" s="17" t="s">
        <v>23</v>
      </c>
      <c r="U121" s="8" t="s">
        <v>42</v>
      </c>
      <c r="V121" s="17" t="s">
        <v>41</v>
      </c>
      <c r="W121" s="8" t="s">
        <v>12</v>
      </c>
      <c r="X121" s="17" t="s">
        <v>23</v>
      </c>
      <c r="Y121" s="8" t="s">
        <v>45</v>
      </c>
      <c r="Z121" s="17" t="s">
        <v>63</v>
      </c>
      <c r="AA121" s="8"/>
      <c r="AC121" s="8"/>
      <c r="AE121" s="8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</row>
    <row r="122" spans="2:43" x14ac:dyDescent="0.4">
      <c r="B122" s="16">
        <v>44385</v>
      </c>
      <c r="C122" s="15">
        <v>0.77222222222222225</v>
      </c>
      <c r="D122" s="21">
        <f t="shared" si="6"/>
        <v>44385.772222222222</v>
      </c>
      <c r="E122" s="25">
        <v>120</v>
      </c>
      <c r="F122" s="1">
        <v>7</v>
      </c>
      <c r="G122" s="1">
        <f>VLOOKUP(F122,監督フォーメーション!$A$2:$C$10,3,FALSE)</f>
        <v>3232</v>
      </c>
      <c r="H122" s="1">
        <v>1342</v>
      </c>
      <c r="I122" s="1">
        <v>1120</v>
      </c>
      <c r="J122" s="1">
        <v>4213</v>
      </c>
      <c r="K122" s="9">
        <v>0.56000000000000005</v>
      </c>
      <c r="L122" s="1">
        <v>8</v>
      </c>
      <c r="M122" s="9">
        <v>0.81</v>
      </c>
      <c r="N122" s="1">
        <f t="shared" si="4"/>
        <v>2</v>
      </c>
      <c r="O122" s="1">
        <f t="shared" si="5"/>
        <v>0</v>
      </c>
      <c r="P122" s="1" t="str">
        <f t="shared" si="3"/>
        <v>勝</v>
      </c>
      <c r="Q122" s="8" t="s">
        <v>42</v>
      </c>
      <c r="R122" s="17" t="s">
        <v>46</v>
      </c>
      <c r="S122" s="8" t="s">
        <v>42</v>
      </c>
      <c r="T122" s="17" t="s">
        <v>44</v>
      </c>
      <c r="U122" s="8"/>
      <c r="W122" s="8"/>
      <c r="Y122" s="8"/>
      <c r="AA122" s="8"/>
      <c r="AC122" s="8"/>
      <c r="AE122" s="8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</row>
    <row r="123" spans="2:43" x14ac:dyDescent="0.4">
      <c r="B123" s="16">
        <v>44385</v>
      </c>
      <c r="C123" s="15">
        <v>0.78055555555555556</v>
      </c>
      <c r="D123" s="21">
        <f t="shared" si="6"/>
        <v>44385.780555555553</v>
      </c>
      <c r="E123" s="25">
        <v>121</v>
      </c>
      <c r="F123" s="1">
        <v>7</v>
      </c>
      <c r="G123" s="1">
        <f>VLOOKUP(F123,監督フォーメーション!$A$2:$C$10,3,FALSE)</f>
        <v>3232</v>
      </c>
      <c r="H123" s="1">
        <v>1349</v>
      </c>
      <c r="I123" s="1">
        <v>1200</v>
      </c>
      <c r="J123" s="1">
        <v>3412</v>
      </c>
      <c r="K123" s="9">
        <v>0.54</v>
      </c>
      <c r="L123" s="1">
        <v>10</v>
      </c>
      <c r="M123" s="9">
        <v>0.83</v>
      </c>
      <c r="N123" s="1">
        <f t="shared" si="4"/>
        <v>1</v>
      </c>
      <c r="O123" s="1">
        <f t="shared" si="5"/>
        <v>2</v>
      </c>
      <c r="P123" s="1" t="str">
        <f t="shared" si="3"/>
        <v>負</v>
      </c>
      <c r="Q123" s="8" t="s">
        <v>47</v>
      </c>
      <c r="R123" s="17" t="s">
        <v>23</v>
      </c>
      <c r="S123" s="8" t="s">
        <v>12</v>
      </c>
      <c r="T123" s="17" t="s">
        <v>23</v>
      </c>
      <c r="U123" s="8" t="s">
        <v>12</v>
      </c>
      <c r="V123" s="17" t="s">
        <v>23</v>
      </c>
      <c r="W123" s="8"/>
      <c r="Y123" s="8"/>
      <c r="AA123" s="8"/>
      <c r="AC123" s="8"/>
      <c r="AE123" s="8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</row>
    <row r="124" spans="2:43" x14ac:dyDescent="0.4">
      <c r="B124" s="16">
        <v>44385</v>
      </c>
      <c r="C124" s="15">
        <v>0.87708333333333333</v>
      </c>
      <c r="D124" s="21">
        <f t="shared" si="6"/>
        <v>44385.877083333333</v>
      </c>
      <c r="E124" s="25">
        <v>122</v>
      </c>
      <c r="F124" s="1">
        <v>7</v>
      </c>
      <c r="G124" s="1">
        <f>VLOOKUP(F124,監督フォーメーション!$A$2:$C$10,3,FALSE)</f>
        <v>3232</v>
      </c>
      <c r="H124" s="1">
        <v>1335</v>
      </c>
      <c r="I124" s="1">
        <v>1382</v>
      </c>
      <c r="J124" s="1">
        <v>442</v>
      </c>
      <c r="K124" s="9" t="s">
        <v>13</v>
      </c>
      <c r="L124" s="1" t="s">
        <v>13</v>
      </c>
      <c r="M124" s="9" t="s">
        <v>13</v>
      </c>
      <c r="N124" s="1">
        <f t="shared" si="4"/>
        <v>4</v>
      </c>
      <c r="O124" s="1">
        <f t="shared" si="5"/>
        <v>2</v>
      </c>
      <c r="P124" s="1" t="str">
        <f t="shared" si="3"/>
        <v>勝</v>
      </c>
      <c r="Q124" s="8" t="s">
        <v>12</v>
      </c>
      <c r="R124" s="17" t="s">
        <v>23</v>
      </c>
      <c r="S124" s="8" t="s">
        <v>12</v>
      </c>
      <c r="T124" s="17" t="s">
        <v>23</v>
      </c>
      <c r="U124" s="8" t="s">
        <v>44</v>
      </c>
      <c r="V124" s="17" t="s">
        <v>41</v>
      </c>
      <c r="W124" s="8" t="s">
        <v>41</v>
      </c>
      <c r="X124" s="17" t="s">
        <v>44</v>
      </c>
      <c r="Y124" s="8" t="s">
        <v>41</v>
      </c>
      <c r="Z124" s="17" t="s">
        <v>23</v>
      </c>
      <c r="AA124" s="8" t="s">
        <v>50</v>
      </c>
      <c r="AB124" s="17" t="s">
        <v>44</v>
      </c>
      <c r="AC124" s="8"/>
      <c r="AE124" s="8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</row>
    <row r="125" spans="2:43" x14ac:dyDescent="0.4">
      <c r="B125" s="16">
        <v>44385</v>
      </c>
      <c r="C125" s="15">
        <v>0.87777777777777777</v>
      </c>
      <c r="D125" s="21">
        <f t="shared" si="6"/>
        <v>44385.87777777778</v>
      </c>
      <c r="E125" s="25">
        <v>123</v>
      </c>
      <c r="F125" s="1">
        <v>7</v>
      </c>
      <c r="G125" s="1">
        <f>VLOOKUP(F125,監督フォーメーション!$A$2:$C$10,3,FALSE)</f>
        <v>3232</v>
      </c>
      <c r="H125" s="1">
        <v>1348</v>
      </c>
      <c r="I125" s="1">
        <v>1238</v>
      </c>
      <c r="J125" s="1">
        <v>433</v>
      </c>
      <c r="K125" s="9" t="s">
        <v>13</v>
      </c>
      <c r="L125" s="1" t="s">
        <v>13</v>
      </c>
      <c r="M125" s="9" t="s">
        <v>13</v>
      </c>
      <c r="N125" s="1">
        <f t="shared" si="4"/>
        <v>3</v>
      </c>
      <c r="O125" s="1">
        <f t="shared" si="5"/>
        <v>0</v>
      </c>
      <c r="P125" s="1" t="str">
        <f t="shared" si="3"/>
        <v>勝</v>
      </c>
      <c r="Q125" s="8" t="s">
        <v>42</v>
      </c>
      <c r="R125" s="17" t="s">
        <v>41</v>
      </c>
      <c r="S125" s="8" t="s">
        <v>42</v>
      </c>
      <c r="T125" s="17" t="s">
        <v>46</v>
      </c>
      <c r="U125" s="8" t="s">
        <v>41</v>
      </c>
      <c r="V125" s="17" t="s">
        <v>23</v>
      </c>
      <c r="W125" s="8"/>
      <c r="Y125" s="8"/>
      <c r="AA125" s="8"/>
      <c r="AC125" s="8"/>
      <c r="AE125" s="8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</row>
    <row r="126" spans="2:43" x14ac:dyDescent="0.4">
      <c r="B126" s="16">
        <v>44386</v>
      </c>
      <c r="C126" s="15">
        <v>0.87708333333333333</v>
      </c>
      <c r="D126" s="21">
        <f t="shared" si="6"/>
        <v>44386.877083333333</v>
      </c>
      <c r="E126" s="25">
        <v>124</v>
      </c>
      <c r="F126" s="1">
        <v>6</v>
      </c>
      <c r="G126" s="1">
        <f>VLOOKUP(F126,監督フォーメーション!$A$2:$C$10,3,FALSE)</f>
        <v>3142</v>
      </c>
      <c r="H126" s="1">
        <v>1367</v>
      </c>
      <c r="I126" s="1" t="s">
        <v>9</v>
      </c>
      <c r="J126" s="1">
        <v>433</v>
      </c>
      <c r="K126" s="9">
        <v>0.51</v>
      </c>
      <c r="L126" s="1">
        <v>6</v>
      </c>
      <c r="M126" s="9">
        <v>0.82</v>
      </c>
      <c r="N126" s="1">
        <f t="shared" si="4"/>
        <v>3</v>
      </c>
      <c r="O126" s="1">
        <f t="shared" si="5"/>
        <v>0</v>
      </c>
      <c r="P126" s="1" t="str">
        <f t="shared" si="3"/>
        <v>勝</v>
      </c>
      <c r="Q126" s="8" t="s">
        <v>54</v>
      </c>
      <c r="R126" s="17" t="s">
        <v>63</v>
      </c>
      <c r="S126" s="8" t="s">
        <v>44</v>
      </c>
      <c r="T126" s="17" t="s">
        <v>41</v>
      </c>
      <c r="U126" s="8" t="s">
        <v>54</v>
      </c>
      <c r="V126" s="17" t="s">
        <v>46</v>
      </c>
      <c r="W126" s="8"/>
      <c r="Y126" s="8"/>
      <c r="AA126" s="8"/>
      <c r="AC126" s="8"/>
      <c r="AE126" s="8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</row>
    <row r="127" spans="2:43" x14ac:dyDescent="0.4">
      <c r="B127" s="16">
        <v>44397</v>
      </c>
      <c r="C127" s="15">
        <v>0.41805555555555557</v>
      </c>
      <c r="D127" s="21">
        <f t="shared" si="6"/>
        <v>44397.418055555558</v>
      </c>
      <c r="E127" s="25">
        <v>125</v>
      </c>
      <c r="F127" s="1">
        <v>6</v>
      </c>
      <c r="G127" s="1">
        <f>VLOOKUP(F127,監督フォーメーション!$A$2:$C$10,3,FALSE)</f>
        <v>3142</v>
      </c>
      <c r="H127" s="1">
        <v>1318</v>
      </c>
      <c r="I127" s="1">
        <v>1333</v>
      </c>
      <c r="J127" s="1">
        <v>4213</v>
      </c>
      <c r="K127" s="9">
        <v>0.6</v>
      </c>
      <c r="L127" s="1">
        <v>2</v>
      </c>
      <c r="M127" s="9">
        <v>0.86</v>
      </c>
      <c r="N127" s="1">
        <f t="shared" si="4"/>
        <v>1</v>
      </c>
      <c r="O127" s="1">
        <f t="shared" si="5"/>
        <v>2</v>
      </c>
      <c r="P127" s="1" t="str">
        <f t="shared" si="3"/>
        <v>負</v>
      </c>
      <c r="Q127" s="8" t="s">
        <v>42</v>
      </c>
      <c r="R127" s="17" t="s">
        <v>44</v>
      </c>
      <c r="S127" s="8" t="s">
        <v>12</v>
      </c>
      <c r="T127" s="17" t="s">
        <v>23</v>
      </c>
      <c r="U127" s="8" t="s">
        <v>12</v>
      </c>
      <c r="W127" s="8"/>
      <c r="Y127" s="8"/>
      <c r="AA127" s="8"/>
      <c r="AC127" s="8"/>
      <c r="AE127" s="8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</row>
    <row r="128" spans="2:43" x14ac:dyDescent="0.4">
      <c r="B128" s="16">
        <v>44397</v>
      </c>
      <c r="C128" s="15">
        <v>0.42499999999999999</v>
      </c>
      <c r="D128" s="21">
        <f t="shared" si="6"/>
        <v>44397.425000000003</v>
      </c>
      <c r="E128" s="25">
        <v>126</v>
      </c>
      <c r="F128" s="1">
        <v>6</v>
      </c>
      <c r="G128" s="1">
        <f>VLOOKUP(F128,監督フォーメーション!$A$2:$C$10,3,FALSE)</f>
        <v>3142</v>
      </c>
      <c r="H128" s="1">
        <v>1312</v>
      </c>
      <c r="I128" s="1">
        <v>1232</v>
      </c>
      <c r="J128" s="1">
        <v>4123</v>
      </c>
      <c r="K128" s="9">
        <v>0.47</v>
      </c>
      <c r="L128" s="1">
        <v>3</v>
      </c>
      <c r="M128" s="9">
        <v>0.86</v>
      </c>
      <c r="N128" s="1">
        <f t="shared" si="4"/>
        <v>2</v>
      </c>
      <c r="O128" s="1">
        <f t="shared" si="5"/>
        <v>2</v>
      </c>
      <c r="P128" s="1" t="str">
        <f t="shared" si="3"/>
        <v>引</v>
      </c>
      <c r="Q128" s="8" t="s">
        <v>42</v>
      </c>
      <c r="R128" s="17" t="s">
        <v>23</v>
      </c>
      <c r="S128" s="8" t="s">
        <v>44</v>
      </c>
      <c r="T128" s="17" t="s">
        <v>63</v>
      </c>
      <c r="U128" s="8" t="s">
        <v>12</v>
      </c>
      <c r="V128" s="17" t="s">
        <v>23</v>
      </c>
      <c r="W128" s="8" t="s">
        <v>12</v>
      </c>
      <c r="X128" s="17" t="s">
        <v>23</v>
      </c>
      <c r="Y128" s="8"/>
      <c r="AA128" s="8"/>
      <c r="AC128" s="8"/>
      <c r="AE128" s="8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</row>
    <row r="129" spans="2:43" x14ac:dyDescent="0.4">
      <c r="B129" s="16">
        <v>44397</v>
      </c>
      <c r="C129" s="15">
        <v>0.45555555555555555</v>
      </c>
      <c r="D129" s="21">
        <f t="shared" si="6"/>
        <v>44397.455555555556</v>
      </c>
      <c r="E129" s="25">
        <v>127</v>
      </c>
      <c r="F129" s="1">
        <v>6</v>
      </c>
      <c r="G129" s="1">
        <f>VLOOKUP(F129,監督フォーメーション!$A$2:$C$10,3,FALSE)</f>
        <v>3142</v>
      </c>
      <c r="H129" s="1">
        <v>1310</v>
      </c>
      <c r="I129" s="1">
        <v>1087</v>
      </c>
      <c r="J129" s="1">
        <v>3241</v>
      </c>
      <c r="K129" s="9">
        <v>0.48</v>
      </c>
      <c r="L129" s="1">
        <v>5</v>
      </c>
      <c r="M129" s="9">
        <v>0.87</v>
      </c>
      <c r="N129" s="1">
        <f t="shared" si="4"/>
        <v>2</v>
      </c>
      <c r="O129" s="1">
        <f t="shared" si="5"/>
        <v>1</v>
      </c>
      <c r="P129" s="1" t="str">
        <f t="shared" si="3"/>
        <v>勝</v>
      </c>
      <c r="Q129" s="8" t="s">
        <v>12</v>
      </c>
      <c r="R129" s="17" t="s">
        <v>23</v>
      </c>
      <c r="S129" s="8" t="s">
        <v>42</v>
      </c>
      <c r="T129" s="17" t="s">
        <v>43</v>
      </c>
      <c r="U129" s="8" t="s">
        <v>42</v>
      </c>
      <c r="V129" s="17" t="s">
        <v>44</v>
      </c>
      <c r="W129" s="8"/>
      <c r="Y129" s="8"/>
      <c r="Z129"/>
      <c r="AA129" s="8"/>
      <c r="AC129" s="8"/>
      <c r="AE129" s="8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</row>
    <row r="130" spans="2:43" x14ac:dyDescent="0.4">
      <c r="B130" s="16">
        <v>44397</v>
      </c>
      <c r="C130" s="15">
        <v>0.45624999999999999</v>
      </c>
      <c r="D130" s="21">
        <f t="shared" si="6"/>
        <v>44397.456250000003</v>
      </c>
      <c r="E130" s="25">
        <v>128</v>
      </c>
      <c r="F130" s="1">
        <v>6</v>
      </c>
      <c r="G130" s="1">
        <f>VLOOKUP(F130,監督フォーメーション!$A$2:$C$10,3,FALSE)</f>
        <v>3142</v>
      </c>
      <c r="H130" s="1">
        <v>1315</v>
      </c>
      <c r="I130" s="1">
        <v>1200</v>
      </c>
      <c r="J130" s="1">
        <v>433</v>
      </c>
      <c r="K130" s="9">
        <v>0.5</v>
      </c>
      <c r="L130" s="1">
        <v>3</v>
      </c>
      <c r="M130" s="9">
        <v>0.84</v>
      </c>
      <c r="N130" s="1">
        <f t="shared" si="4"/>
        <v>1</v>
      </c>
      <c r="O130" s="1">
        <f t="shared" si="5"/>
        <v>1</v>
      </c>
      <c r="P130" s="1" t="str">
        <f t="shared" si="3"/>
        <v>引</v>
      </c>
      <c r="Q130" s="8" t="s">
        <v>44</v>
      </c>
      <c r="R130" s="17" t="s">
        <v>43</v>
      </c>
      <c r="S130" s="8" t="s">
        <v>12</v>
      </c>
      <c r="T130" s="17" t="s">
        <v>23</v>
      </c>
      <c r="U130" s="8"/>
      <c r="W130" s="8"/>
      <c r="Y130" s="8"/>
      <c r="AA130" s="8"/>
      <c r="AC130" s="8"/>
      <c r="AE130" s="8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</row>
    <row r="131" spans="2:43" x14ac:dyDescent="0.4">
      <c r="B131" s="16">
        <v>44397</v>
      </c>
      <c r="C131" s="15">
        <v>0.4597222222222222</v>
      </c>
      <c r="D131" s="21">
        <f t="shared" si="6"/>
        <v>44397.459722222222</v>
      </c>
      <c r="E131" s="25">
        <v>129</v>
      </c>
      <c r="F131" s="1">
        <v>6</v>
      </c>
      <c r="G131" s="1">
        <f>VLOOKUP(F131,監督フォーメーション!$A$2:$C$10,3,FALSE)</f>
        <v>3142</v>
      </c>
      <c r="H131" s="1">
        <v>1305</v>
      </c>
      <c r="I131" s="1">
        <v>1346</v>
      </c>
      <c r="J131" s="1">
        <v>433</v>
      </c>
      <c r="K131" s="9">
        <v>0.47</v>
      </c>
      <c r="L131" s="1">
        <v>10</v>
      </c>
      <c r="M131" s="9">
        <v>0.92</v>
      </c>
      <c r="N131" s="1">
        <f t="shared" si="4"/>
        <v>5</v>
      </c>
      <c r="O131" s="1">
        <f t="shared" si="5"/>
        <v>0</v>
      </c>
      <c r="P131" s="1" t="str">
        <f t="shared" ref="P131:P194" si="7">IF(N131-O131&gt;0,"勝",IF(N131-O131&lt;0,"負","引"))</f>
        <v>勝</v>
      </c>
      <c r="Q131" s="8" t="s">
        <v>42</v>
      </c>
      <c r="R131" s="17" t="s">
        <v>43</v>
      </c>
      <c r="S131" s="8" t="s">
        <v>43</v>
      </c>
      <c r="T131" s="17" t="s">
        <v>46</v>
      </c>
      <c r="U131" s="8" t="s">
        <v>43</v>
      </c>
      <c r="V131" s="17" t="s">
        <v>42</v>
      </c>
      <c r="W131" s="8" t="s">
        <v>43</v>
      </c>
      <c r="X131" s="17" t="s">
        <v>43</v>
      </c>
      <c r="Y131" s="8" t="s">
        <v>42</v>
      </c>
      <c r="AA131" s="8"/>
      <c r="AC131" s="8"/>
      <c r="AE131" s="8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</row>
    <row r="132" spans="2:43" x14ac:dyDescent="0.4">
      <c r="B132" s="16">
        <v>44397</v>
      </c>
      <c r="C132" s="15">
        <v>0.47500000000000003</v>
      </c>
      <c r="D132" s="21">
        <f t="shared" si="6"/>
        <v>44397.474999999999</v>
      </c>
      <c r="E132" s="25">
        <v>130</v>
      </c>
      <c r="F132" s="1">
        <v>6</v>
      </c>
      <c r="G132" s="1">
        <f>VLOOKUP(F132,監督フォーメーション!$A$2:$C$10,3,FALSE)</f>
        <v>3142</v>
      </c>
      <c r="H132" s="1">
        <v>1346</v>
      </c>
      <c r="I132" s="1">
        <v>1322</v>
      </c>
      <c r="J132" s="1">
        <v>433</v>
      </c>
      <c r="K132" s="9" t="s">
        <v>13</v>
      </c>
      <c r="L132" s="1" t="s">
        <v>13</v>
      </c>
      <c r="M132" s="9" t="s">
        <v>13</v>
      </c>
      <c r="N132" s="1">
        <f t="shared" si="4"/>
        <v>2</v>
      </c>
      <c r="O132" s="1">
        <f t="shared" si="5"/>
        <v>0</v>
      </c>
      <c r="P132" s="1" t="str">
        <f t="shared" si="7"/>
        <v>勝</v>
      </c>
      <c r="Q132" s="8" t="s">
        <v>42</v>
      </c>
      <c r="R132" s="17" t="s">
        <v>43</v>
      </c>
      <c r="S132" s="8" t="s">
        <v>41</v>
      </c>
      <c r="T132" s="17" t="s">
        <v>40</v>
      </c>
      <c r="U132" s="8"/>
      <c r="W132" s="8"/>
      <c r="Y132" s="8"/>
      <c r="AA132" s="8"/>
      <c r="AB132"/>
      <c r="AC132" s="8"/>
      <c r="AE132" s="8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</row>
    <row r="133" spans="2:43" x14ac:dyDescent="0.4">
      <c r="B133" s="16">
        <v>44397</v>
      </c>
      <c r="C133" s="15">
        <v>0.51250000000000007</v>
      </c>
      <c r="D133" s="21">
        <f t="shared" si="6"/>
        <v>44397.512499999997</v>
      </c>
      <c r="E133" s="25">
        <v>131</v>
      </c>
      <c r="F133" s="1">
        <v>6</v>
      </c>
      <c r="G133" s="1">
        <f>VLOOKUP(F133,監督フォーメーション!$A$2:$C$10,3,FALSE)</f>
        <v>3142</v>
      </c>
      <c r="H133" s="1">
        <v>1356</v>
      </c>
      <c r="I133" s="1">
        <v>1333</v>
      </c>
      <c r="J133" s="1">
        <v>3313</v>
      </c>
      <c r="K133" s="9">
        <v>0.54</v>
      </c>
      <c r="L133" s="1">
        <v>5</v>
      </c>
      <c r="M133" s="9">
        <v>0.83</v>
      </c>
      <c r="N133" s="1">
        <f t="shared" si="4"/>
        <v>3</v>
      </c>
      <c r="O133" s="1">
        <f t="shared" si="5"/>
        <v>0</v>
      </c>
      <c r="P133" s="1" t="str">
        <f t="shared" si="7"/>
        <v>勝</v>
      </c>
      <c r="Q133" s="8" t="s">
        <v>42</v>
      </c>
      <c r="R133" s="17" t="s">
        <v>44</v>
      </c>
      <c r="S133" s="8" t="s">
        <v>42</v>
      </c>
      <c r="T133" s="17" t="s">
        <v>23</v>
      </c>
      <c r="U133" s="8" t="s">
        <v>106</v>
      </c>
      <c r="V133" s="17" t="s">
        <v>41</v>
      </c>
      <c r="W133" s="8"/>
      <c r="Y133" s="8"/>
      <c r="AA133" s="8"/>
      <c r="AC133" s="8"/>
      <c r="AE133" s="8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</row>
    <row r="134" spans="2:43" x14ac:dyDescent="0.4">
      <c r="B134" s="16">
        <v>44409</v>
      </c>
      <c r="C134" s="15">
        <v>0.60416666666666663</v>
      </c>
      <c r="D134" s="21">
        <f t="shared" si="6"/>
        <v>44409.604166666664</v>
      </c>
      <c r="E134" s="25">
        <v>132</v>
      </c>
      <c r="F134" s="1">
        <v>6</v>
      </c>
      <c r="G134" s="1">
        <f>VLOOKUP(F134,監督フォーメーション!$A$2:$C$10,3,FALSE)</f>
        <v>3142</v>
      </c>
      <c r="H134" s="1">
        <v>1419</v>
      </c>
      <c r="I134" s="1">
        <v>1222</v>
      </c>
      <c r="J134" s="1">
        <v>433</v>
      </c>
      <c r="K134" s="9">
        <v>0.53</v>
      </c>
      <c r="L134" s="1">
        <v>4</v>
      </c>
      <c r="M134" s="9">
        <v>0.8</v>
      </c>
      <c r="N134" s="1">
        <f t="shared" si="4"/>
        <v>2</v>
      </c>
      <c r="O134" s="1">
        <f t="shared" si="5"/>
        <v>0</v>
      </c>
      <c r="P134" s="1" t="str">
        <f t="shared" si="7"/>
        <v>勝</v>
      </c>
      <c r="Q134" s="8" t="s">
        <v>109</v>
      </c>
      <c r="R134" s="17" t="s">
        <v>41</v>
      </c>
      <c r="S134" s="8" t="s">
        <v>107</v>
      </c>
      <c r="T134" s="17" t="s">
        <v>108</v>
      </c>
      <c r="U134" s="8"/>
      <c r="W134" s="8"/>
      <c r="Y134" s="8"/>
      <c r="AA134" s="8"/>
      <c r="AB134"/>
      <c r="AC134" s="8"/>
      <c r="AE134" s="8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</row>
    <row r="135" spans="2:43" x14ac:dyDescent="0.4">
      <c r="B135" s="16">
        <v>44411</v>
      </c>
      <c r="C135" s="15">
        <v>0.87986111111111109</v>
      </c>
      <c r="D135" s="21">
        <f t="shared" si="6"/>
        <v>44411.879861111112</v>
      </c>
      <c r="E135" s="25">
        <v>133</v>
      </c>
      <c r="F135" s="1">
        <v>10</v>
      </c>
      <c r="G135" s="1">
        <f>VLOOKUP(F135,監督フォーメーション!$A$2:$C$15,3,FALSE)</f>
        <v>4213</v>
      </c>
      <c r="H135" s="1">
        <v>1422</v>
      </c>
      <c r="I135" s="1">
        <v>1444</v>
      </c>
      <c r="J135" s="1">
        <v>4312</v>
      </c>
      <c r="K135" s="9">
        <v>0.48</v>
      </c>
      <c r="L135" s="1">
        <v>1</v>
      </c>
      <c r="M135" s="9">
        <v>0.8</v>
      </c>
      <c r="N135" s="1">
        <f t="shared" si="4"/>
        <v>1</v>
      </c>
      <c r="O135" s="1">
        <f t="shared" si="5"/>
        <v>2</v>
      </c>
      <c r="P135" s="1" t="str">
        <f t="shared" si="7"/>
        <v>負</v>
      </c>
      <c r="Q135" s="8" t="s">
        <v>12</v>
      </c>
      <c r="R135" s="17" t="s">
        <v>23</v>
      </c>
      <c r="S135" s="8" t="s">
        <v>12</v>
      </c>
      <c r="T135" s="17" t="s">
        <v>23</v>
      </c>
      <c r="U135" s="8" t="s">
        <v>108</v>
      </c>
      <c r="V135" s="17" t="s">
        <v>109</v>
      </c>
      <c r="W135" s="8"/>
      <c r="Y135" s="8"/>
      <c r="AA135" s="8"/>
      <c r="AC135" s="8"/>
      <c r="AE135" s="8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</row>
    <row r="136" spans="2:43" x14ac:dyDescent="0.4">
      <c r="B136" s="16">
        <v>44412</v>
      </c>
      <c r="C136" s="15">
        <v>0.87986111111111109</v>
      </c>
      <c r="D136" s="21">
        <f t="shared" si="6"/>
        <v>44412.879861111112</v>
      </c>
      <c r="E136" s="25">
        <v>134</v>
      </c>
      <c r="F136" s="1">
        <v>10</v>
      </c>
      <c r="G136" s="1">
        <f>VLOOKUP(F136,監督フォーメーション!$A$2:$C$15,3,FALSE)</f>
        <v>4213</v>
      </c>
      <c r="H136" s="1">
        <v>1415</v>
      </c>
      <c r="I136" s="1" t="s">
        <v>9</v>
      </c>
      <c r="J136" s="1">
        <v>4213</v>
      </c>
      <c r="K136" s="9">
        <v>0.46</v>
      </c>
      <c r="L136" s="1">
        <v>6</v>
      </c>
      <c r="M136" s="9">
        <v>0.79</v>
      </c>
      <c r="N136" s="1">
        <f t="shared" si="4"/>
        <v>2</v>
      </c>
      <c r="O136" s="1">
        <f t="shared" si="5"/>
        <v>0</v>
      </c>
      <c r="P136" s="1" t="str">
        <f t="shared" si="7"/>
        <v>勝</v>
      </c>
      <c r="Q136" s="8" t="s">
        <v>43</v>
      </c>
      <c r="R136" s="29" t="s">
        <v>114</v>
      </c>
      <c r="S136" s="8" t="s">
        <v>44</v>
      </c>
      <c r="T136" s="17" t="s">
        <v>47</v>
      </c>
      <c r="U136" s="8"/>
      <c r="W136" s="8"/>
      <c r="Y136" s="8"/>
      <c r="AA136" s="8"/>
      <c r="AC136" s="8"/>
      <c r="AE136" s="8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</row>
    <row r="137" spans="2:43" x14ac:dyDescent="0.4">
      <c r="B137" s="16">
        <v>44412</v>
      </c>
      <c r="C137" s="15">
        <v>0.88958333333333339</v>
      </c>
      <c r="D137" s="21">
        <f t="shared" si="6"/>
        <v>44412.88958333333</v>
      </c>
      <c r="E137" s="25">
        <v>135</v>
      </c>
      <c r="F137" s="1">
        <v>10</v>
      </c>
      <c r="G137" s="1">
        <f>VLOOKUP(F137,監督フォーメーション!$A$2:$C$15,3,FALSE)</f>
        <v>4213</v>
      </c>
      <c r="H137" s="1">
        <v>1381</v>
      </c>
      <c r="I137" s="1">
        <v>1423</v>
      </c>
      <c r="J137" s="1">
        <v>4312</v>
      </c>
      <c r="K137" s="9">
        <v>0.56000000000000005</v>
      </c>
      <c r="L137" s="1">
        <v>3</v>
      </c>
      <c r="M137" s="9">
        <v>0.71</v>
      </c>
      <c r="N137" s="1">
        <f t="shared" si="4"/>
        <v>2</v>
      </c>
      <c r="O137" s="1">
        <f t="shared" si="5"/>
        <v>5</v>
      </c>
      <c r="P137" s="1" t="str">
        <f t="shared" si="7"/>
        <v>負</v>
      </c>
      <c r="Q137" s="8" t="s">
        <v>12</v>
      </c>
      <c r="R137" s="17" t="s">
        <v>23</v>
      </c>
      <c r="S137" s="8" t="s">
        <v>43</v>
      </c>
      <c r="T137" s="17" t="s">
        <v>23</v>
      </c>
      <c r="U137" s="8" t="s">
        <v>12</v>
      </c>
      <c r="V137" s="17" t="s">
        <v>23</v>
      </c>
      <c r="W137" s="8" t="s">
        <v>111</v>
      </c>
      <c r="X137" s="17" t="s">
        <v>47</v>
      </c>
      <c r="Y137" s="8" t="s">
        <v>12</v>
      </c>
      <c r="Z137" s="17" t="s">
        <v>23</v>
      </c>
      <c r="AA137" s="8" t="s">
        <v>12</v>
      </c>
      <c r="AB137" s="17" t="s">
        <v>23</v>
      </c>
      <c r="AC137" s="8" t="s">
        <v>12</v>
      </c>
      <c r="AD137" s="17" t="s">
        <v>23</v>
      </c>
      <c r="AE137" s="8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</row>
    <row r="138" spans="2:43" x14ac:dyDescent="0.4">
      <c r="B138" s="16">
        <v>44412</v>
      </c>
      <c r="C138" s="15">
        <v>0.91736111111111107</v>
      </c>
      <c r="D138" s="21">
        <f t="shared" si="6"/>
        <v>44412.917361111111</v>
      </c>
      <c r="E138" s="25">
        <v>136</v>
      </c>
      <c r="F138" s="1">
        <v>10</v>
      </c>
      <c r="G138" s="1">
        <f>VLOOKUP(F138,監督フォーメーション!$A$2:$C$15,3,FALSE)</f>
        <v>4213</v>
      </c>
      <c r="H138" s="1">
        <v>1377</v>
      </c>
      <c r="I138" s="1">
        <v>1391</v>
      </c>
      <c r="J138" s="1">
        <v>3223</v>
      </c>
      <c r="K138" s="9">
        <v>0.53</v>
      </c>
      <c r="L138" s="1">
        <v>3</v>
      </c>
      <c r="M138" s="9">
        <v>0.82</v>
      </c>
      <c r="N138" s="1">
        <f t="shared" si="4"/>
        <v>0</v>
      </c>
      <c r="O138" s="1">
        <f t="shared" si="5"/>
        <v>2</v>
      </c>
      <c r="P138" s="1" t="str">
        <f t="shared" si="7"/>
        <v>負</v>
      </c>
      <c r="Q138" s="8" t="s">
        <v>12</v>
      </c>
      <c r="R138" s="17" t="s">
        <v>23</v>
      </c>
      <c r="S138" s="8" t="s">
        <v>12</v>
      </c>
      <c r="T138" s="17" t="s">
        <v>23</v>
      </c>
      <c r="U138" s="8"/>
      <c r="W138" s="8"/>
      <c r="Y138" s="8"/>
      <c r="AA138" s="8"/>
      <c r="AC138" s="8"/>
      <c r="AE138" s="8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</row>
    <row r="139" spans="2:43" x14ac:dyDescent="0.4">
      <c r="B139" s="16">
        <v>44412</v>
      </c>
      <c r="C139" s="15">
        <v>0.92361111111111116</v>
      </c>
      <c r="D139" s="21">
        <f t="shared" si="6"/>
        <v>44412.923611111109</v>
      </c>
      <c r="E139" s="25">
        <v>137</v>
      </c>
      <c r="F139" s="1">
        <v>10</v>
      </c>
      <c r="G139" s="1">
        <f>VLOOKUP(F139,監督フォーメーション!$A$2:$C$15,3,FALSE)</f>
        <v>4213</v>
      </c>
      <c r="H139" s="1">
        <v>1367</v>
      </c>
      <c r="I139" s="1">
        <v>1457</v>
      </c>
      <c r="J139" s="1">
        <v>4213</v>
      </c>
      <c r="K139" s="9">
        <v>0.55000000000000004</v>
      </c>
      <c r="L139" s="1">
        <v>3</v>
      </c>
      <c r="M139" s="9">
        <v>0.88</v>
      </c>
      <c r="N139" s="1">
        <f t="shared" si="4"/>
        <v>1</v>
      </c>
      <c r="O139" s="1">
        <f t="shared" si="5"/>
        <v>3</v>
      </c>
      <c r="P139" s="1" t="str">
        <f t="shared" si="7"/>
        <v>負</v>
      </c>
      <c r="Q139" s="8" t="s">
        <v>44</v>
      </c>
      <c r="R139" s="17" t="s">
        <v>111</v>
      </c>
      <c r="S139" s="8" t="s">
        <v>12</v>
      </c>
      <c r="T139" s="17" t="s">
        <v>23</v>
      </c>
      <c r="U139" s="8" t="s">
        <v>12</v>
      </c>
      <c r="V139" s="17" t="s">
        <v>23</v>
      </c>
      <c r="W139" s="8" t="s">
        <v>12</v>
      </c>
      <c r="X139" s="17" t="s">
        <v>23</v>
      </c>
      <c r="Y139" s="8"/>
      <c r="AA139" s="8"/>
      <c r="AC139" s="8"/>
      <c r="AE139" s="8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</row>
    <row r="140" spans="2:43" x14ac:dyDescent="0.4">
      <c r="B140" s="16">
        <v>44412</v>
      </c>
      <c r="C140" s="15">
        <v>0.93125000000000002</v>
      </c>
      <c r="D140" s="21">
        <f t="shared" si="6"/>
        <v>44412.931250000001</v>
      </c>
      <c r="E140" s="25">
        <v>138</v>
      </c>
      <c r="F140" s="1">
        <v>10</v>
      </c>
      <c r="G140" s="1">
        <f>VLOOKUP(F140,監督フォーメーション!$A$2:$C$15,3,FALSE)</f>
        <v>4213</v>
      </c>
      <c r="H140" s="1">
        <v>1359</v>
      </c>
      <c r="I140" s="1">
        <v>1360</v>
      </c>
      <c r="J140" s="1">
        <v>5212</v>
      </c>
      <c r="K140" s="9">
        <v>0.47</v>
      </c>
      <c r="L140" s="1">
        <v>5</v>
      </c>
      <c r="M140" s="9">
        <v>0.8</v>
      </c>
      <c r="N140" s="1">
        <f t="shared" si="4"/>
        <v>1</v>
      </c>
      <c r="O140" s="1">
        <f t="shared" si="5"/>
        <v>1</v>
      </c>
      <c r="P140" s="1" t="str">
        <f t="shared" si="7"/>
        <v>引</v>
      </c>
      <c r="Q140" s="8" t="s">
        <v>12</v>
      </c>
      <c r="R140" s="17" t="s">
        <v>23</v>
      </c>
      <c r="S140" s="8" t="s">
        <v>106</v>
      </c>
      <c r="T140" s="17" t="s">
        <v>23</v>
      </c>
      <c r="U140" s="8"/>
      <c r="W140" s="8"/>
      <c r="Y140" s="8"/>
      <c r="AA140" s="8"/>
      <c r="AC140" s="8"/>
      <c r="AE140" s="8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</row>
    <row r="141" spans="2:43" x14ac:dyDescent="0.4">
      <c r="B141" s="16">
        <v>44429</v>
      </c>
      <c r="C141" s="15">
        <v>0.63124999999999998</v>
      </c>
      <c r="D141" s="21">
        <f t="shared" si="6"/>
        <v>44429.631249999999</v>
      </c>
      <c r="E141" s="25">
        <v>139</v>
      </c>
      <c r="F141" s="1">
        <v>1</v>
      </c>
      <c r="G141" s="1">
        <f>VLOOKUP(F141,監督フォーメーション!$A$2:$C$15,3,FALSE)</f>
        <v>3232</v>
      </c>
      <c r="H141" s="1">
        <v>1346</v>
      </c>
      <c r="I141" s="1">
        <v>1300</v>
      </c>
      <c r="J141" s="1">
        <v>4312</v>
      </c>
      <c r="K141" s="9">
        <v>0.56000000000000005</v>
      </c>
      <c r="L141" s="1">
        <v>5</v>
      </c>
      <c r="M141" s="9">
        <v>0.84</v>
      </c>
      <c r="N141" s="1">
        <f t="shared" si="4"/>
        <v>3</v>
      </c>
      <c r="O141" s="1">
        <f t="shared" si="5"/>
        <v>2</v>
      </c>
      <c r="P141" s="1" t="str">
        <f t="shared" si="7"/>
        <v>勝</v>
      </c>
      <c r="Q141" s="8" t="s">
        <v>43</v>
      </c>
      <c r="R141" s="17" t="s">
        <v>45</v>
      </c>
      <c r="S141" s="8" t="s">
        <v>12</v>
      </c>
      <c r="T141" s="17" t="s">
        <v>23</v>
      </c>
      <c r="U141" s="8" t="s">
        <v>45</v>
      </c>
      <c r="V141" s="17" t="s">
        <v>43</v>
      </c>
      <c r="W141" s="8" t="s">
        <v>12</v>
      </c>
      <c r="X141" s="17" t="s">
        <v>23</v>
      </c>
      <c r="Y141" s="8" t="s">
        <v>45</v>
      </c>
      <c r="Z141" s="17" t="s">
        <v>43</v>
      </c>
      <c r="AA141" s="8"/>
      <c r="AC141" s="8"/>
      <c r="AE141" s="8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</row>
    <row r="142" spans="2:43" x14ac:dyDescent="0.4">
      <c r="B142" s="16">
        <v>44429</v>
      </c>
      <c r="C142" s="15">
        <v>0.63263888888888886</v>
      </c>
      <c r="D142" s="21">
        <f t="shared" si="6"/>
        <v>44429.632638888892</v>
      </c>
      <c r="E142" s="25">
        <v>140</v>
      </c>
      <c r="F142" s="1">
        <v>1</v>
      </c>
      <c r="G142" s="1">
        <f>VLOOKUP(F142,監督フォーメーション!$A$2:$C$15,3,FALSE)</f>
        <v>3232</v>
      </c>
      <c r="H142" s="1">
        <v>1356</v>
      </c>
      <c r="I142" s="1">
        <v>1380</v>
      </c>
      <c r="J142" s="1">
        <v>4312</v>
      </c>
      <c r="K142" s="9">
        <v>0.57999999999999996</v>
      </c>
      <c r="L142" s="1">
        <v>1</v>
      </c>
      <c r="M142" s="9">
        <v>0.83</v>
      </c>
      <c r="N142" s="1">
        <f t="shared" si="4"/>
        <v>0</v>
      </c>
      <c r="O142" s="1">
        <f t="shared" si="5"/>
        <v>1</v>
      </c>
      <c r="P142" s="1" t="str">
        <f t="shared" si="7"/>
        <v>負</v>
      </c>
      <c r="Q142" s="8" t="s">
        <v>12</v>
      </c>
      <c r="R142" s="17" t="s">
        <v>23</v>
      </c>
      <c r="S142" s="8"/>
      <c r="U142" s="8"/>
      <c r="W142" s="8"/>
      <c r="Y142" s="8"/>
      <c r="AA142" s="8"/>
      <c r="AC142" s="8"/>
      <c r="AE142" s="8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</row>
    <row r="143" spans="2:43" x14ac:dyDescent="0.4">
      <c r="B143" s="16">
        <v>44429</v>
      </c>
      <c r="C143" s="15">
        <v>0.65972222222222221</v>
      </c>
      <c r="D143" s="21">
        <f t="shared" si="6"/>
        <v>44429.659722222219</v>
      </c>
      <c r="E143" s="25">
        <v>141</v>
      </c>
      <c r="F143" s="1">
        <v>1</v>
      </c>
      <c r="G143" s="1">
        <f>VLOOKUP(F143,監督フォーメーション!$A$2:$C$15,3,FALSE)</f>
        <v>3232</v>
      </c>
      <c r="H143" s="1">
        <v>1351</v>
      </c>
      <c r="I143" s="1">
        <v>1072</v>
      </c>
      <c r="J143" s="1">
        <v>4213</v>
      </c>
      <c r="K143" s="9">
        <v>0.6</v>
      </c>
      <c r="L143" s="1">
        <v>3</v>
      </c>
      <c r="M143" s="9">
        <v>0.83</v>
      </c>
      <c r="N143" s="1">
        <f t="shared" si="4"/>
        <v>0</v>
      </c>
      <c r="O143" s="1">
        <f t="shared" si="5"/>
        <v>2</v>
      </c>
      <c r="P143" s="1" t="str">
        <f t="shared" si="7"/>
        <v>負</v>
      </c>
      <c r="Q143" s="8" t="s">
        <v>12</v>
      </c>
      <c r="R143" s="17" t="s">
        <v>23</v>
      </c>
      <c r="S143" s="8" t="s">
        <v>12</v>
      </c>
      <c r="T143" s="17" t="s">
        <v>23</v>
      </c>
      <c r="U143" s="8"/>
      <c r="W143" s="8"/>
      <c r="Y143" s="8"/>
      <c r="AA143" s="8"/>
      <c r="AC143" s="8"/>
      <c r="AE143" s="8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</row>
    <row r="144" spans="2:43" x14ac:dyDescent="0.4">
      <c r="B144" s="16">
        <v>44429</v>
      </c>
      <c r="C144" s="15">
        <v>0.66111111111111109</v>
      </c>
      <c r="D144" s="21">
        <f t="shared" si="6"/>
        <v>44429.661111111112</v>
      </c>
      <c r="E144" s="25">
        <v>142</v>
      </c>
      <c r="F144" s="1">
        <v>1</v>
      </c>
      <c r="G144" s="1">
        <f>VLOOKUP(F144,監督フォーメーション!$A$2:$C$15,3,FALSE)</f>
        <v>3232</v>
      </c>
      <c r="H144" s="1">
        <v>1333</v>
      </c>
      <c r="I144" s="1">
        <v>1400</v>
      </c>
      <c r="J144" s="1">
        <v>4312</v>
      </c>
      <c r="K144" s="9">
        <v>0.5</v>
      </c>
      <c r="L144" s="1">
        <v>2</v>
      </c>
      <c r="M144" s="9">
        <v>0.78</v>
      </c>
      <c r="N144" s="1">
        <f t="shared" ref="N144:N207" si="8">COUNTA(Q144,S144,U144,W144,Y144,AA144,AC144,AE144,AG144)-O144</f>
        <v>0</v>
      </c>
      <c r="O144" s="1">
        <f t="shared" si="5"/>
        <v>3</v>
      </c>
      <c r="P144" s="1" t="str">
        <f t="shared" si="7"/>
        <v>負</v>
      </c>
      <c r="Q144" s="8" t="s">
        <v>12</v>
      </c>
      <c r="R144" s="17" t="s">
        <v>23</v>
      </c>
      <c r="S144" s="8" t="s">
        <v>12</v>
      </c>
      <c r="T144" s="17" t="s">
        <v>23</v>
      </c>
      <c r="U144" s="8" t="s">
        <v>12</v>
      </c>
      <c r="V144" s="17" t="s">
        <v>23</v>
      </c>
      <c r="W144" s="8"/>
      <c r="Y144" s="8"/>
      <c r="AA144" s="8"/>
      <c r="AC144" s="8"/>
      <c r="AE144" s="8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</row>
    <row r="145" spans="2:43" x14ac:dyDescent="0.4">
      <c r="B145" s="16">
        <v>44429</v>
      </c>
      <c r="C145" s="15">
        <v>0.6791666666666667</v>
      </c>
      <c r="D145" s="21">
        <f t="shared" si="6"/>
        <v>44429.679166666669</v>
      </c>
      <c r="E145" s="25">
        <v>143</v>
      </c>
      <c r="F145" s="1">
        <v>1</v>
      </c>
      <c r="G145" s="1">
        <f>VLOOKUP(F145,監督フォーメーション!$A$2:$C$15,3,FALSE)</f>
        <v>3232</v>
      </c>
      <c r="H145" s="1">
        <v>1328</v>
      </c>
      <c r="I145" s="1">
        <v>1335</v>
      </c>
      <c r="J145" s="1">
        <v>4312</v>
      </c>
      <c r="K145" s="9">
        <v>0.56000000000000005</v>
      </c>
      <c r="L145" s="1">
        <v>5</v>
      </c>
      <c r="M145" s="9">
        <v>0.8</v>
      </c>
      <c r="N145" s="1">
        <f t="shared" si="8"/>
        <v>2</v>
      </c>
      <c r="O145" s="1">
        <f t="shared" si="5"/>
        <v>1</v>
      </c>
      <c r="P145" s="1" t="str">
        <f t="shared" si="7"/>
        <v>勝</v>
      </c>
      <c r="Q145" s="8" t="s">
        <v>42</v>
      </c>
      <c r="R145" s="17" t="s">
        <v>54</v>
      </c>
      <c r="S145" s="8" t="s">
        <v>12</v>
      </c>
      <c r="T145" s="17" t="s">
        <v>23</v>
      </c>
      <c r="U145" s="8" t="s">
        <v>41</v>
      </c>
      <c r="V145" s="17" t="s">
        <v>23</v>
      </c>
      <c r="W145" s="8"/>
      <c r="Y145" s="8"/>
      <c r="AA145" s="8"/>
      <c r="AC145" s="8"/>
      <c r="AE145" s="8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</row>
    <row r="146" spans="2:43" x14ac:dyDescent="0.4">
      <c r="B146" s="16">
        <v>44429</v>
      </c>
      <c r="C146" s="15">
        <v>0.89513888888888893</v>
      </c>
      <c r="D146" s="21">
        <f t="shared" si="6"/>
        <v>44429.895138888889</v>
      </c>
      <c r="E146" s="25">
        <v>144</v>
      </c>
      <c r="F146" s="1">
        <v>1</v>
      </c>
      <c r="G146" s="1">
        <f>VLOOKUP(F146,監督フォーメーション!$A$2:$C$15,3,FALSE)</f>
        <v>3232</v>
      </c>
      <c r="H146" s="1">
        <v>1335</v>
      </c>
      <c r="I146" s="1">
        <v>1335</v>
      </c>
      <c r="J146" s="1">
        <v>3322</v>
      </c>
      <c r="K146" s="9">
        <v>0.51</v>
      </c>
      <c r="L146" s="1">
        <v>4</v>
      </c>
      <c r="M146" s="9">
        <v>0.89</v>
      </c>
      <c r="N146" s="1">
        <f t="shared" si="8"/>
        <v>2</v>
      </c>
      <c r="O146" s="1">
        <f t="shared" si="5"/>
        <v>2</v>
      </c>
      <c r="P146" s="1" t="str">
        <f t="shared" si="7"/>
        <v>引</v>
      </c>
      <c r="Q146" s="8" t="s">
        <v>12</v>
      </c>
      <c r="R146" s="17" t="s">
        <v>23</v>
      </c>
      <c r="S146" s="8" t="s">
        <v>42</v>
      </c>
      <c r="T146" s="17" t="s">
        <v>44</v>
      </c>
      <c r="U146" s="8" t="s">
        <v>12</v>
      </c>
      <c r="V146" s="17" t="s">
        <v>23</v>
      </c>
      <c r="W146" s="8" t="s">
        <v>106</v>
      </c>
      <c r="X146" s="17" t="s">
        <v>54</v>
      </c>
      <c r="Y146" s="8"/>
      <c r="AA146" s="8"/>
      <c r="AC146" s="8"/>
      <c r="AE146" s="8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</row>
    <row r="147" spans="2:43" x14ac:dyDescent="0.4">
      <c r="B147" s="16">
        <v>44429</v>
      </c>
      <c r="C147" s="15">
        <v>0.90138888888888891</v>
      </c>
      <c r="D147" s="21">
        <f t="shared" si="6"/>
        <v>44429.901388888888</v>
      </c>
      <c r="E147" s="25">
        <v>145</v>
      </c>
      <c r="F147" s="1">
        <v>1</v>
      </c>
      <c r="G147" s="1">
        <f>VLOOKUP(F147,監督フォーメーション!$A$2:$C$15,3,FALSE)</f>
        <v>3232</v>
      </c>
      <c r="H147" s="1">
        <v>1337</v>
      </c>
      <c r="I147" s="1">
        <v>1069</v>
      </c>
      <c r="J147" s="1">
        <v>4312</v>
      </c>
      <c r="K147" s="9">
        <v>0.51</v>
      </c>
      <c r="L147" s="1">
        <v>3</v>
      </c>
      <c r="M147" s="9">
        <v>0.83</v>
      </c>
      <c r="N147" s="1">
        <f t="shared" si="8"/>
        <v>1</v>
      </c>
      <c r="O147" s="1">
        <f t="shared" si="5"/>
        <v>1</v>
      </c>
      <c r="P147" s="1" t="str">
        <f t="shared" si="7"/>
        <v>引</v>
      </c>
      <c r="Q147" s="8" t="s">
        <v>43</v>
      </c>
      <c r="R147" s="17" t="s">
        <v>111</v>
      </c>
      <c r="S147" s="8" t="s">
        <v>12</v>
      </c>
      <c r="T147" s="17" t="s">
        <v>23</v>
      </c>
      <c r="U147" s="8"/>
      <c r="W147" s="8"/>
      <c r="Y147" s="8"/>
      <c r="AA147" s="8"/>
      <c r="AC147" s="8"/>
      <c r="AE147" s="8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</row>
    <row r="148" spans="2:43" x14ac:dyDescent="0.4">
      <c r="B148" s="16">
        <v>44429</v>
      </c>
      <c r="C148" s="15">
        <v>0.90902777777777777</v>
      </c>
      <c r="D148" s="21">
        <f t="shared" si="6"/>
        <v>44429.90902777778</v>
      </c>
      <c r="E148" s="25">
        <v>146</v>
      </c>
      <c r="F148" s="1">
        <v>1</v>
      </c>
      <c r="G148" s="1">
        <f>VLOOKUP(F148,監督フォーメーション!$A$2:$C$15,3,FALSE)</f>
        <v>3232</v>
      </c>
      <c r="H148" s="1">
        <v>1331</v>
      </c>
      <c r="I148" s="1">
        <v>1225</v>
      </c>
      <c r="J148" s="1">
        <v>3223</v>
      </c>
      <c r="K148" s="9">
        <v>0.51</v>
      </c>
      <c r="L148" s="1">
        <v>6</v>
      </c>
      <c r="M148" s="9">
        <v>0.73</v>
      </c>
      <c r="N148" s="1">
        <f t="shared" si="8"/>
        <v>1</v>
      </c>
      <c r="O148" s="1">
        <f t="shared" si="5"/>
        <v>2</v>
      </c>
      <c r="P148" s="1" t="str">
        <f t="shared" si="7"/>
        <v>負</v>
      </c>
      <c r="Q148" s="8" t="s">
        <v>12</v>
      </c>
      <c r="R148" s="17" t="s">
        <v>23</v>
      </c>
      <c r="S148" s="8" t="s">
        <v>12</v>
      </c>
      <c r="T148" s="17" t="s">
        <v>23</v>
      </c>
      <c r="U148" s="8" t="s">
        <v>42</v>
      </c>
      <c r="V148" s="17" t="s">
        <v>41</v>
      </c>
      <c r="W148" s="8"/>
      <c r="Y148" s="8"/>
      <c r="AA148" s="8"/>
      <c r="AC148" s="8"/>
      <c r="AE148" s="8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</row>
    <row r="149" spans="2:43" x14ac:dyDescent="0.4">
      <c r="B149" s="16">
        <v>44429</v>
      </c>
      <c r="C149" s="15">
        <v>0.91736111111111107</v>
      </c>
      <c r="D149" s="21">
        <f t="shared" si="6"/>
        <v>44429.917361111111</v>
      </c>
      <c r="E149" s="25">
        <v>147</v>
      </c>
      <c r="F149" s="1">
        <v>1</v>
      </c>
      <c r="G149" s="1">
        <f>VLOOKUP(F149,監督フォーメーション!$A$2:$C$15,3,FALSE)</f>
        <v>3232</v>
      </c>
      <c r="H149" s="1">
        <v>1319</v>
      </c>
      <c r="I149" s="1">
        <v>1250</v>
      </c>
      <c r="J149" s="1">
        <v>433</v>
      </c>
      <c r="K149" s="9">
        <v>0.53</v>
      </c>
      <c r="L149" s="1">
        <v>5</v>
      </c>
      <c r="M149" s="9">
        <v>0.81</v>
      </c>
      <c r="N149" s="1">
        <f t="shared" si="8"/>
        <v>4</v>
      </c>
      <c r="O149" s="1">
        <f t="shared" si="5"/>
        <v>2</v>
      </c>
      <c r="P149" s="1" t="str">
        <f t="shared" si="7"/>
        <v>勝</v>
      </c>
      <c r="Q149" s="8" t="s">
        <v>12</v>
      </c>
      <c r="R149" s="17" t="s">
        <v>23</v>
      </c>
      <c r="S149" s="8" t="s">
        <v>12</v>
      </c>
      <c r="T149" s="17" t="s">
        <v>23</v>
      </c>
      <c r="U149" s="8" t="s">
        <v>43</v>
      </c>
      <c r="V149" s="17" t="s">
        <v>42</v>
      </c>
      <c r="W149" s="8" t="s">
        <v>42</v>
      </c>
      <c r="X149" s="17" t="s">
        <v>109</v>
      </c>
      <c r="Y149" s="8" t="s">
        <v>106</v>
      </c>
      <c r="Z149" s="17" t="s">
        <v>43</v>
      </c>
      <c r="AA149" s="8" t="s">
        <v>54</v>
      </c>
      <c r="AB149" s="17" t="s">
        <v>23</v>
      </c>
      <c r="AC149" s="8"/>
      <c r="AE149" s="8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</row>
    <row r="150" spans="2:43" x14ac:dyDescent="0.4">
      <c r="B150" s="16">
        <v>44429</v>
      </c>
      <c r="C150" s="15">
        <v>0.94097222222222221</v>
      </c>
      <c r="D150" s="21">
        <f t="shared" si="6"/>
        <v>44429.940972222219</v>
      </c>
      <c r="E150" s="25">
        <v>148</v>
      </c>
      <c r="F150" s="1">
        <v>1</v>
      </c>
      <c r="G150" s="1">
        <f>VLOOKUP(F150,監督フォーメーション!$A$2:$C$15,3,FALSE)</f>
        <v>3232</v>
      </c>
      <c r="H150" s="1">
        <v>1318</v>
      </c>
      <c r="I150" s="1">
        <v>1250</v>
      </c>
      <c r="J150" s="1">
        <v>4222</v>
      </c>
      <c r="K150" s="9">
        <v>0.54</v>
      </c>
      <c r="L150" s="1">
        <v>6</v>
      </c>
      <c r="M150" s="9">
        <v>0.87</v>
      </c>
      <c r="N150" s="1">
        <f t="shared" si="8"/>
        <v>4</v>
      </c>
      <c r="O150" s="1">
        <f t="shared" si="5"/>
        <v>1</v>
      </c>
      <c r="P150" s="1" t="str">
        <f t="shared" si="7"/>
        <v>勝</v>
      </c>
      <c r="Q150" s="8" t="s">
        <v>42</v>
      </c>
      <c r="R150" s="17" t="s">
        <v>44</v>
      </c>
      <c r="S150" s="8" t="s">
        <v>42</v>
      </c>
      <c r="T150" s="17" t="s">
        <v>43</v>
      </c>
      <c r="U150" s="8" t="s">
        <v>12</v>
      </c>
      <c r="V150" s="17" t="s">
        <v>23</v>
      </c>
      <c r="W150" s="8" t="s">
        <v>41</v>
      </c>
      <c r="X150" s="17" t="s">
        <v>23</v>
      </c>
      <c r="Y150" s="8" t="s">
        <v>54</v>
      </c>
      <c r="Z150" s="17" t="s">
        <v>106</v>
      </c>
      <c r="AA150" s="8"/>
      <c r="AC150" s="8"/>
      <c r="AE150" s="8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</row>
    <row r="151" spans="2:43" x14ac:dyDescent="0.4">
      <c r="B151" s="16">
        <v>44430</v>
      </c>
      <c r="C151" s="15">
        <v>0.3923611111111111</v>
      </c>
      <c r="D151" s="21">
        <f t="shared" si="6"/>
        <v>44430.392361111109</v>
      </c>
      <c r="E151" s="25">
        <v>149</v>
      </c>
      <c r="F151" s="1">
        <v>1</v>
      </c>
      <c r="G151" s="1">
        <f>VLOOKUP(F151,監督フォーメーション!$A$2:$C$15,3,FALSE)</f>
        <v>3232</v>
      </c>
      <c r="H151" s="1">
        <v>1348</v>
      </c>
      <c r="I151" s="1">
        <v>1306</v>
      </c>
      <c r="J151" s="1">
        <v>5212</v>
      </c>
      <c r="K151" s="9">
        <v>0.56999999999999995</v>
      </c>
      <c r="L151" s="1">
        <v>3</v>
      </c>
      <c r="M151" s="9">
        <v>0.88</v>
      </c>
      <c r="N151" s="1">
        <f t="shared" si="8"/>
        <v>3</v>
      </c>
      <c r="O151" s="1">
        <f t="shared" si="5"/>
        <v>2</v>
      </c>
      <c r="P151" s="1" t="str">
        <f t="shared" si="7"/>
        <v>勝</v>
      </c>
      <c r="Q151" s="8" t="s">
        <v>43</v>
      </c>
      <c r="R151" s="17" t="s">
        <v>111</v>
      </c>
      <c r="S151" s="8" t="s">
        <v>12</v>
      </c>
      <c r="T151" s="17" t="s">
        <v>23</v>
      </c>
      <c r="U151" s="8" t="s">
        <v>12</v>
      </c>
      <c r="V151" s="17" t="s">
        <v>23</v>
      </c>
      <c r="W151" s="8" t="s">
        <v>40</v>
      </c>
      <c r="X151" s="17" t="s">
        <v>41</v>
      </c>
      <c r="Y151" s="8" t="s">
        <v>54</v>
      </c>
      <c r="Z151" s="17" t="s">
        <v>105</v>
      </c>
      <c r="AA151" s="8"/>
      <c r="AC151" s="8"/>
      <c r="AE151" s="8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</row>
    <row r="152" spans="2:43" x14ac:dyDescent="0.4">
      <c r="B152" s="16">
        <v>44430</v>
      </c>
      <c r="C152" s="15">
        <v>0.39305555555555555</v>
      </c>
      <c r="D152" s="21">
        <f t="shared" si="6"/>
        <v>44430.393055555556</v>
      </c>
      <c r="E152" s="25">
        <v>150</v>
      </c>
      <c r="F152" s="1">
        <v>1</v>
      </c>
      <c r="G152" s="1">
        <f>VLOOKUP(F152,監督フォーメーション!$A$2:$C$15,3,FALSE)</f>
        <v>3232</v>
      </c>
      <c r="H152" s="1">
        <v>1360</v>
      </c>
      <c r="I152" s="1">
        <v>1329</v>
      </c>
      <c r="J152" s="1">
        <v>4222</v>
      </c>
      <c r="K152" s="9" t="s">
        <v>13</v>
      </c>
      <c r="L152" s="1" t="s">
        <v>13</v>
      </c>
      <c r="M152" s="9" t="s">
        <v>13</v>
      </c>
      <c r="N152" s="1">
        <f t="shared" si="8"/>
        <v>3</v>
      </c>
      <c r="O152" s="1">
        <f t="shared" si="5"/>
        <v>2</v>
      </c>
      <c r="P152" s="1" t="str">
        <f t="shared" si="7"/>
        <v>勝</v>
      </c>
      <c r="Q152" s="8" t="s">
        <v>42</v>
      </c>
      <c r="R152" s="17" t="s">
        <v>44</v>
      </c>
      <c r="S152" s="8" t="s">
        <v>12</v>
      </c>
      <c r="T152" s="17" t="s">
        <v>23</v>
      </c>
      <c r="U152" s="8" t="s">
        <v>12</v>
      </c>
      <c r="V152" s="17" t="s">
        <v>23</v>
      </c>
      <c r="W152" s="8" t="s">
        <v>42</v>
      </c>
      <c r="X152" s="17" t="s">
        <v>44</v>
      </c>
      <c r="Y152" s="8" t="s">
        <v>54</v>
      </c>
      <c r="Z152" s="17" t="s">
        <v>63</v>
      </c>
      <c r="AA152" s="8"/>
      <c r="AC152" s="8"/>
      <c r="AE152" s="8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</row>
    <row r="153" spans="2:43" x14ac:dyDescent="0.4">
      <c r="B153" s="16">
        <v>44430</v>
      </c>
      <c r="C153" s="15">
        <v>0.40069444444444446</v>
      </c>
      <c r="D153" s="21">
        <f t="shared" si="6"/>
        <v>44430.400694444441</v>
      </c>
      <c r="E153" s="25">
        <v>151</v>
      </c>
      <c r="F153" s="1">
        <v>1</v>
      </c>
      <c r="G153" s="1">
        <f>VLOOKUP(F153,監督フォーメーション!$A$2:$C$15,3,FALSE)</f>
        <v>3232</v>
      </c>
      <c r="H153" s="1">
        <v>1370</v>
      </c>
      <c r="I153" s="1">
        <v>1220</v>
      </c>
      <c r="J153" s="1">
        <v>433</v>
      </c>
      <c r="K153" s="9">
        <v>0.48</v>
      </c>
      <c r="L153" s="1">
        <v>7</v>
      </c>
      <c r="M153" s="9">
        <v>0.81</v>
      </c>
      <c r="N153" s="1">
        <f t="shared" si="8"/>
        <v>0</v>
      </c>
      <c r="O153" s="1">
        <f t="shared" si="5"/>
        <v>3</v>
      </c>
      <c r="P153" s="1" t="str">
        <f t="shared" si="7"/>
        <v>負</v>
      </c>
      <c r="Q153" s="8" t="s">
        <v>12</v>
      </c>
      <c r="R153" s="17" t="s">
        <v>23</v>
      </c>
      <c r="S153" s="8" t="s">
        <v>12</v>
      </c>
      <c r="T153" s="17" t="s">
        <v>23</v>
      </c>
      <c r="U153" s="8" t="s">
        <v>12</v>
      </c>
      <c r="V153" s="17" t="s">
        <v>23</v>
      </c>
      <c r="W153" s="8"/>
      <c r="Y153" s="8"/>
      <c r="AA153" s="8"/>
      <c r="AC153" s="8"/>
      <c r="AE153" s="8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</row>
    <row r="154" spans="2:43" x14ac:dyDescent="0.4">
      <c r="B154" s="16">
        <v>44430</v>
      </c>
      <c r="C154" s="15">
        <v>0.40972222222222227</v>
      </c>
      <c r="D154" s="21">
        <f t="shared" si="6"/>
        <v>44430.409722222219</v>
      </c>
      <c r="E154" s="25">
        <v>152</v>
      </c>
      <c r="F154" s="1">
        <v>1</v>
      </c>
      <c r="G154" s="1">
        <f>VLOOKUP(F154,監督フォーメーション!$A$2:$C$15,3,FALSE)</f>
        <v>3232</v>
      </c>
      <c r="H154" s="1">
        <v>1355</v>
      </c>
      <c r="I154" s="1">
        <v>1120</v>
      </c>
      <c r="J154" s="1">
        <v>433</v>
      </c>
      <c r="K154" s="9">
        <v>0.39</v>
      </c>
      <c r="L154" s="1">
        <v>1</v>
      </c>
      <c r="M154" s="9">
        <v>0.82</v>
      </c>
      <c r="N154" s="1">
        <f t="shared" si="8"/>
        <v>1</v>
      </c>
      <c r="O154" s="1">
        <f t="shared" si="5"/>
        <v>0</v>
      </c>
      <c r="P154" s="1" t="str">
        <f t="shared" si="7"/>
        <v>勝</v>
      </c>
      <c r="Q154" s="8" t="s">
        <v>42</v>
      </c>
      <c r="R154" s="17" t="s">
        <v>44</v>
      </c>
      <c r="S154" s="8"/>
      <c r="U154" s="8"/>
      <c r="W154" s="8"/>
      <c r="Y154" s="8"/>
      <c r="AA154" s="8"/>
      <c r="AC154" s="8"/>
      <c r="AE154" s="8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</row>
    <row r="155" spans="2:43" x14ac:dyDescent="0.4">
      <c r="B155" s="16">
        <v>44430</v>
      </c>
      <c r="C155" s="15">
        <v>0.64374999999999993</v>
      </c>
      <c r="D155" s="21">
        <f t="shared" si="6"/>
        <v>44430.643750000003</v>
      </c>
      <c r="E155" s="25">
        <v>153</v>
      </c>
      <c r="F155" s="1">
        <v>9</v>
      </c>
      <c r="G155" s="1">
        <f>VLOOKUP(F155,監督フォーメーション!$A$2:$C$15,3,FALSE)</f>
        <v>3142</v>
      </c>
      <c r="H155" s="1">
        <v>1335</v>
      </c>
      <c r="I155" s="1">
        <v>1220</v>
      </c>
      <c r="J155" s="1">
        <v>4312</v>
      </c>
      <c r="K155" s="9">
        <v>0.55000000000000004</v>
      </c>
      <c r="L155" s="1">
        <v>8</v>
      </c>
      <c r="M155" s="9">
        <v>0.84</v>
      </c>
      <c r="N155" s="1">
        <f t="shared" si="8"/>
        <v>3</v>
      </c>
      <c r="O155" s="1">
        <f t="shared" si="5"/>
        <v>2</v>
      </c>
      <c r="P155" s="1" t="str">
        <f t="shared" si="7"/>
        <v>勝</v>
      </c>
      <c r="Q155" s="8" t="s">
        <v>42</v>
      </c>
      <c r="R155" s="17" t="s">
        <v>40</v>
      </c>
      <c r="S155" s="8" t="s">
        <v>12</v>
      </c>
      <c r="T155" s="17" t="s">
        <v>23</v>
      </c>
      <c r="U155" s="8" t="s">
        <v>42</v>
      </c>
      <c r="V155" s="17" t="s">
        <v>43</v>
      </c>
      <c r="W155" s="8" t="s">
        <v>44</v>
      </c>
      <c r="X155" s="17" t="s">
        <v>23</v>
      </c>
      <c r="Y155" s="8" t="s">
        <v>12</v>
      </c>
      <c r="Z155" s="17" t="s">
        <v>23</v>
      </c>
      <c r="AA155" s="8"/>
      <c r="AC155" s="8"/>
      <c r="AE155" s="8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</row>
    <row r="156" spans="2:43" x14ac:dyDescent="0.4">
      <c r="B156" s="16">
        <v>44430</v>
      </c>
      <c r="C156" s="15">
        <v>0.64444444444444449</v>
      </c>
      <c r="D156" s="21">
        <f t="shared" si="6"/>
        <v>44430.644444444442</v>
      </c>
      <c r="E156" s="25">
        <v>154</v>
      </c>
      <c r="F156" s="1">
        <v>9</v>
      </c>
      <c r="G156" s="1">
        <f>VLOOKUP(F156,監督フォーメーション!$A$2:$C$15,3,FALSE)</f>
        <v>3142</v>
      </c>
      <c r="H156" s="1">
        <v>1348</v>
      </c>
      <c r="I156" s="1">
        <v>1256</v>
      </c>
      <c r="J156" s="1">
        <v>532</v>
      </c>
      <c r="K156" s="9">
        <v>0.55000000000000004</v>
      </c>
      <c r="L156" s="1">
        <v>5</v>
      </c>
      <c r="M156" s="9">
        <v>0.84</v>
      </c>
      <c r="N156" s="1">
        <f t="shared" si="8"/>
        <v>3</v>
      </c>
      <c r="O156" s="1">
        <f t="shared" si="5"/>
        <v>5</v>
      </c>
      <c r="P156" s="1" t="str">
        <f t="shared" si="7"/>
        <v>負</v>
      </c>
      <c r="Q156" s="8" t="s">
        <v>12</v>
      </c>
      <c r="R156" s="17" t="s">
        <v>23</v>
      </c>
      <c r="S156" s="8" t="s">
        <v>12</v>
      </c>
      <c r="T156" s="17" t="s">
        <v>23</v>
      </c>
      <c r="U156" s="8" t="s">
        <v>42</v>
      </c>
      <c r="V156" s="17" t="s">
        <v>63</v>
      </c>
      <c r="W156" s="8" t="s">
        <v>42</v>
      </c>
      <c r="X156" s="17" t="s">
        <v>43</v>
      </c>
      <c r="Y156" s="8" t="s">
        <v>12</v>
      </c>
      <c r="Z156" s="17" t="s">
        <v>23</v>
      </c>
      <c r="AA156" s="8" t="s">
        <v>42</v>
      </c>
      <c r="AB156" s="17" t="s">
        <v>41</v>
      </c>
      <c r="AC156" s="8" t="s">
        <v>12</v>
      </c>
      <c r="AD156" s="17" t="s">
        <v>23</v>
      </c>
      <c r="AE156" s="8" t="s">
        <v>12</v>
      </c>
      <c r="AF156" s="17" t="s">
        <v>23</v>
      </c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</row>
    <row r="157" spans="2:43" x14ac:dyDescent="0.4">
      <c r="B157" s="16">
        <v>44430</v>
      </c>
      <c r="C157" s="15">
        <v>0.65069444444444446</v>
      </c>
      <c r="D157" s="21">
        <f t="shared" si="6"/>
        <v>44430.650694444441</v>
      </c>
      <c r="E157" s="25">
        <v>155</v>
      </c>
      <c r="F157" s="1">
        <v>9</v>
      </c>
      <c r="G157" s="1">
        <f>VLOOKUP(F157,監督フォーメーション!$A$2:$C$15,3,FALSE)</f>
        <v>3142</v>
      </c>
      <c r="H157" s="1">
        <v>1334</v>
      </c>
      <c r="I157" s="1">
        <v>1105</v>
      </c>
      <c r="J157" s="1">
        <v>4312</v>
      </c>
      <c r="K157" s="9">
        <v>0.63</v>
      </c>
      <c r="L157" s="1">
        <v>5</v>
      </c>
      <c r="M157" s="9">
        <v>0.87</v>
      </c>
      <c r="N157" s="1">
        <f t="shared" si="8"/>
        <v>2</v>
      </c>
      <c r="O157" s="1">
        <f t="shared" si="5"/>
        <v>1</v>
      </c>
      <c r="P157" s="1" t="str">
        <f t="shared" si="7"/>
        <v>勝</v>
      </c>
      <c r="Q157" s="8" t="s">
        <v>42</v>
      </c>
      <c r="R157" s="17" t="s">
        <v>43</v>
      </c>
      <c r="S157" s="8" t="s">
        <v>12</v>
      </c>
      <c r="T157" s="17" t="s">
        <v>23</v>
      </c>
      <c r="U157" s="8" t="s">
        <v>42</v>
      </c>
      <c r="V157" s="17" t="s">
        <v>44</v>
      </c>
      <c r="W157" s="8"/>
      <c r="Y157" s="8"/>
      <c r="AA157" s="8"/>
      <c r="AC157" s="8"/>
      <c r="AE157" s="8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</row>
    <row r="158" spans="2:43" x14ac:dyDescent="0.4">
      <c r="B158" s="16">
        <v>44430</v>
      </c>
      <c r="C158" s="15">
        <v>0.65833333333333333</v>
      </c>
      <c r="D158" s="21">
        <f t="shared" si="6"/>
        <v>44430.658333333333</v>
      </c>
      <c r="E158" s="25">
        <v>156</v>
      </c>
      <c r="F158" s="1">
        <v>9</v>
      </c>
      <c r="G158" s="1">
        <f>VLOOKUP(F158,監督フォーメーション!$A$2:$C$15,3,FALSE)</f>
        <v>3142</v>
      </c>
      <c r="H158" s="1">
        <v>1339</v>
      </c>
      <c r="I158" s="1">
        <v>1121</v>
      </c>
      <c r="J158" s="1">
        <v>4213</v>
      </c>
      <c r="K158" s="9">
        <v>0.63</v>
      </c>
      <c r="L158" s="1">
        <v>6</v>
      </c>
      <c r="M158" s="9">
        <v>0.92</v>
      </c>
      <c r="N158" s="1">
        <f t="shared" si="8"/>
        <v>1</v>
      </c>
      <c r="O158" s="1">
        <f t="shared" ref="O158:O221" si="9">COUNTIF(Q158:AG158, "=失点")</f>
        <v>0</v>
      </c>
      <c r="P158" s="1" t="str">
        <f t="shared" si="7"/>
        <v>勝</v>
      </c>
      <c r="Q158" s="8" t="s">
        <v>106</v>
      </c>
      <c r="R158" s="17" t="s">
        <v>105</v>
      </c>
      <c r="S158" s="8"/>
      <c r="U158" s="8"/>
      <c r="W158" s="8"/>
      <c r="Y158" s="8"/>
      <c r="AA158" s="8"/>
      <c r="AC158" s="8"/>
      <c r="AE158" s="8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</row>
    <row r="159" spans="2:43" x14ac:dyDescent="0.4">
      <c r="B159" s="16">
        <v>44436</v>
      </c>
      <c r="C159" s="15">
        <v>0.69652777777777775</v>
      </c>
      <c r="D159" s="21">
        <f t="shared" si="6"/>
        <v>44436.696527777778</v>
      </c>
      <c r="E159" s="25">
        <v>157</v>
      </c>
      <c r="F159" s="1">
        <v>9</v>
      </c>
      <c r="G159" s="1">
        <f>VLOOKUP(F159,監督フォーメーション!$A$2:$C$15,3,FALSE)</f>
        <v>3142</v>
      </c>
      <c r="H159" s="1">
        <v>1324</v>
      </c>
      <c r="I159" s="1">
        <v>1167</v>
      </c>
      <c r="J159" s="1">
        <v>3232</v>
      </c>
      <c r="K159" s="9">
        <v>0.51</v>
      </c>
      <c r="L159" s="1">
        <v>5</v>
      </c>
      <c r="M159" s="9">
        <v>0.85</v>
      </c>
      <c r="N159" s="1">
        <f t="shared" si="8"/>
        <v>2</v>
      </c>
      <c r="O159" s="1">
        <f t="shared" si="9"/>
        <v>2</v>
      </c>
      <c r="P159" s="1" t="str">
        <f t="shared" si="7"/>
        <v>引</v>
      </c>
      <c r="Q159" s="8" t="s">
        <v>40</v>
      </c>
      <c r="R159" s="17" t="s">
        <v>46</v>
      </c>
      <c r="S159" s="8" t="s">
        <v>43</v>
      </c>
      <c r="T159" s="17" t="s">
        <v>41</v>
      </c>
      <c r="U159" s="8" t="s">
        <v>12</v>
      </c>
      <c r="V159" s="17" t="s">
        <v>23</v>
      </c>
      <c r="W159" s="8" t="s">
        <v>12</v>
      </c>
      <c r="X159" s="17" t="s">
        <v>23</v>
      </c>
      <c r="Y159" s="8"/>
      <c r="AA159" s="8"/>
      <c r="AC159" s="8"/>
      <c r="AE159" s="8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</row>
    <row r="160" spans="2:43" x14ac:dyDescent="0.4">
      <c r="B160" s="16">
        <v>44436</v>
      </c>
      <c r="C160" s="15">
        <v>0.70416666666666661</v>
      </c>
      <c r="D160" s="21">
        <f t="shared" si="6"/>
        <v>44436.70416666667</v>
      </c>
      <c r="E160" s="25">
        <v>158</v>
      </c>
      <c r="F160" s="1">
        <v>9</v>
      </c>
      <c r="G160" s="1">
        <f>VLOOKUP(F160,監督フォーメーション!$A$2:$C$15,3,FALSE)</f>
        <v>3142</v>
      </c>
      <c r="H160" s="1">
        <v>1320</v>
      </c>
      <c r="I160" s="1">
        <v>1174</v>
      </c>
      <c r="J160" s="1">
        <v>4222</v>
      </c>
      <c r="K160" s="9">
        <v>0.53</v>
      </c>
      <c r="L160" s="1">
        <v>4</v>
      </c>
      <c r="M160" s="9">
        <v>0.84</v>
      </c>
      <c r="N160" s="1">
        <f t="shared" si="8"/>
        <v>0</v>
      </c>
      <c r="O160" s="1">
        <f t="shared" si="9"/>
        <v>1</v>
      </c>
      <c r="P160" s="1" t="str">
        <f t="shared" si="7"/>
        <v>負</v>
      </c>
      <c r="Q160" s="8" t="s">
        <v>12</v>
      </c>
      <c r="R160" s="17" t="s">
        <v>23</v>
      </c>
      <c r="S160" s="8"/>
      <c r="U160" s="8"/>
      <c r="W160" s="8"/>
      <c r="Y160" s="8"/>
      <c r="AA160" s="8"/>
      <c r="AC160" s="8"/>
      <c r="AE160" s="8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</row>
    <row r="161" spans="2:43" x14ac:dyDescent="0.4">
      <c r="B161" s="16">
        <v>44436</v>
      </c>
      <c r="C161" s="15">
        <v>0.71250000000000002</v>
      </c>
      <c r="D161" s="21">
        <f t="shared" si="6"/>
        <v>44436.712500000001</v>
      </c>
      <c r="E161" s="25">
        <v>159</v>
      </c>
      <c r="F161" s="1">
        <v>9</v>
      </c>
      <c r="G161" s="1">
        <f>VLOOKUP(F161,監督フォーメーション!$A$2:$C$15,3,FALSE)</f>
        <v>3142</v>
      </c>
      <c r="H161" s="1">
        <v>1305</v>
      </c>
      <c r="I161" s="1">
        <v>1300</v>
      </c>
      <c r="J161" s="1">
        <v>532</v>
      </c>
      <c r="K161" s="9">
        <v>0.54</v>
      </c>
      <c r="L161" s="1">
        <v>5</v>
      </c>
      <c r="M161" s="9">
        <v>0.74</v>
      </c>
      <c r="N161" s="1">
        <f t="shared" si="8"/>
        <v>1</v>
      </c>
      <c r="O161" s="1">
        <f t="shared" si="9"/>
        <v>4</v>
      </c>
      <c r="P161" s="1" t="str">
        <f t="shared" si="7"/>
        <v>負</v>
      </c>
      <c r="Q161" s="8" t="s">
        <v>12</v>
      </c>
      <c r="R161" s="17" t="s">
        <v>23</v>
      </c>
      <c r="S161" s="8" t="s">
        <v>41</v>
      </c>
      <c r="T161" s="17" t="s">
        <v>43</v>
      </c>
      <c r="U161" s="8" t="s">
        <v>12</v>
      </c>
      <c r="V161" s="17" t="s">
        <v>23</v>
      </c>
      <c r="W161" s="8" t="s">
        <v>12</v>
      </c>
      <c r="X161" s="17" t="s">
        <v>23</v>
      </c>
      <c r="Y161" s="8" t="s">
        <v>12</v>
      </c>
      <c r="Z161" s="17" t="s">
        <v>23</v>
      </c>
      <c r="AA161" s="8"/>
      <c r="AC161" s="8"/>
      <c r="AE161" s="8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</row>
    <row r="162" spans="2:43" x14ac:dyDescent="0.4">
      <c r="B162" s="16">
        <v>44436</v>
      </c>
      <c r="C162" s="15">
        <v>0.72777777777777775</v>
      </c>
      <c r="D162" s="21">
        <f t="shared" si="6"/>
        <v>44436.727777777778</v>
      </c>
      <c r="E162" s="25">
        <v>160</v>
      </c>
      <c r="F162" s="1">
        <v>9</v>
      </c>
      <c r="G162" s="1">
        <f>VLOOKUP(F162,監督フォーメーション!$A$2:$C$15,3,FALSE)</f>
        <v>3142</v>
      </c>
      <c r="H162" s="1">
        <v>1295</v>
      </c>
      <c r="I162" s="1">
        <v>1200</v>
      </c>
      <c r="J162" s="1">
        <v>4213</v>
      </c>
      <c r="K162" s="9">
        <v>0.49</v>
      </c>
      <c r="L162" s="1">
        <v>2</v>
      </c>
      <c r="M162" s="9">
        <v>0.84</v>
      </c>
      <c r="N162" s="1">
        <f t="shared" si="8"/>
        <v>2</v>
      </c>
      <c r="O162" s="1">
        <f t="shared" si="9"/>
        <v>1</v>
      </c>
      <c r="P162" s="1" t="str">
        <f t="shared" si="7"/>
        <v>勝</v>
      </c>
      <c r="Q162" s="8" t="s">
        <v>42</v>
      </c>
      <c r="R162" s="17" t="s">
        <v>46</v>
      </c>
      <c r="S162" s="8" t="s">
        <v>42</v>
      </c>
      <c r="T162" s="17" t="s">
        <v>41</v>
      </c>
      <c r="U162" s="8" t="s">
        <v>12</v>
      </c>
      <c r="V162" s="17" t="s">
        <v>23</v>
      </c>
      <c r="W162" s="8"/>
      <c r="Y162" s="8"/>
      <c r="AA162" s="8"/>
      <c r="AC162" s="8"/>
      <c r="AE162" s="8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</row>
    <row r="163" spans="2:43" x14ac:dyDescent="0.4">
      <c r="B163" s="16">
        <v>44436</v>
      </c>
      <c r="C163" s="15">
        <v>0.72916666666666663</v>
      </c>
      <c r="D163" s="21">
        <f t="shared" si="6"/>
        <v>44436.729166666664</v>
      </c>
      <c r="E163" s="25">
        <v>161</v>
      </c>
      <c r="F163" s="1">
        <v>9</v>
      </c>
      <c r="G163" s="1">
        <f>VLOOKUP(F163,監督フォーメーション!$A$2:$C$15,3,FALSE)</f>
        <v>3142</v>
      </c>
      <c r="H163" s="1">
        <v>1302</v>
      </c>
      <c r="I163" s="1">
        <v>1400</v>
      </c>
      <c r="J163" s="1">
        <v>4312</v>
      </c>
      <c r="K163" s="9" t="s">
        <v>13</v>
      </c>
      <c r="L163" s="1" t="s">
        <v>13</v>
      </c>
      <c r="M163" s="9" t="s">
        <v>13</v>
      </c>
      <c r="N163" s="1">
        <f t="shared" si="8"/>
        <v>2</v>
      </c>
      <c r="O163" s="1">
        <f t="shared" si="9"/>
        <v>0</v>
      </c>
      <c r="P163" s="1" t="str">
        <f t="shared" si="7"/>
        <v>勝</v>
      </c>
      <c r="Q163" s="8" t="s">
        <v>43</v>
      </c>
      <c r="R163" s="17" t="s">
        <v>46</v>
      </c>
      <c r="S163" s="8" t="s">
        <v>44</v>
      </c>
      <c r="T163" s="17" t="s">
        <v>42</v>
      </c>
      <c r="U163" s="8"/>
      <c r="W163" s="8"/>
      <c r="Y163" s="8"/>
      <c r="AA163" s="8"/>
      <c r="AC163" s="8"/>
      <c r="AE163" s="8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</row>
    <row r="164" spans="2:43" x14ac:dyDescent="0.4">
      <c r="B164" s="16">
        <v>44436</v>
      </c>
      <c r="C164" s="15">
        <v>0.73263888888888884</v>
      </c>
      <c r="D164" s="21">
        <f t="shared" si="6"/>
        <v>44436.732638888891</v>
      </c>
      <c r="E164" s="25">
        <v>162</v>
      </c>
      <c r="F164" s="1">
        <v>9</v>
      </c>
      <c r="G164" s="1">
        <f>VLOOKUP(F164,監督フォーメーション!$A$2:$C$15,3,FALSE)</f>
        <v>3142</v>
      </c>
      <c r="H164" s="1">
        <v>1319</v>
      </c>
      <c r="I164" s="1">
        <v>1200</v>
      </c>
      <c r="J164" s="1">
        <v>4123</v>
      </c>
      <c r="K164" s="9">
        <v>0.56999999999999995</v>
      </c>
      <c r="L164" s="1">
        <v>5</v>
      </c>
      <c r="M164" s="9">
        <v>0.91</v>
      </c>
      <c r="N164" s="1">
        <f t="shared" si="8"/>
        <v>2</v>
      </c>
      <c r="O164" s="1">
        <f t="shared" si="9"/>
        <v>3</v>
      </c>
      <c r="P164" s="1" t="str">
        <f t="shared" si="7"/>
        <v>負</v>
      </c>
      <c r="Q164" s="8" t="s">
        <v>12</v>
      </c>
      <c r="R164" s="17" t="s">
        <v>23</v>
      </c>
      <c r="S164" s="8" t="s">
        <v>105</v>
      </c>
      <c r="T164" s="17" t="s">
        <v>44</v>
      </c>
      <c r="U164" s="8" t="s">
        <v>12</v>
      </c>
      <c r="V164" s="17" t="s">
        <v>23</v>
      </c>
      <c r="W164" s="8" t="s">
        <v>106</v>
      </c>
      <c r="X164" s="17" t="s">
        <v>46</v>
      </c>
      <c r="Y164" s="8" t="s">
        <v>12</v>
      </c>
      <c r="Z164" s="17" t="s">
        <v>23</v>
      </c>
      <c r="AA164" s="8"/>
      <c r="AC164" s="8"/>
      <c r="AE164" s="8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</row>
    <row r="165" spans="2:43" x14ac:dyDescent="0.4">
      <c r="B165" s="16">
        <v>44437</v>
      </c>
      <c r="C165" s="15">
        <v>0.91111111111111109</v>
      </c>
      <c r="D165" s="21">
        <f t="shared" si="6"/>
        <v>44437.911111111112</v>
      </c>
      <c r="E165" s="25">
        <v>163</v>
      </c>
      <c r="F165" s="1">
        <v>9</v>
      </c>
      <c r="G165" s="1">
        <f>VLOOKUP(F165,監督フォーメーション!$A$2:$C$15,3,FALSE)</f>
        <v>3142</v>
      </c>
      <c r="H165" s="1">
        <v>1309</v>
      </c>
      <c r="I165" s="1">
        <v>1300</v>
      </c>
      <c r="J165" s="1">
        <v>4312</v>
      </c>
      <c r="K165" s="9" t="s">
        <v>13</v>
      </c>
      <c r="L165" s="1" t="s">
        <v>13</v>
      </c>
      <c r="M165" s="9" t="s">
        <v>13</v>
      </c>
      <c r="N165" s="1">
        <f t="shared" si="8"/>
        <v>2</v>
      </c>
      <c r="O165" s="1">
        <f t="shared" si="9"/>
        <v>0</v>
      </c>
      <c r="P165" s="1" t="str">
        <f t="shared" si="7"/>
        <v>勝</v>
      </c>
      <c r="Q165" s="8" t="s">
        <v>42</v>
      </c>
      <c r="R165" s="17" t="s">
        <v>43</v>
      </c>
      <c r="S165" s="8" t="s">
        <v>43</v>
      </c>
      <c r="T165" s="17" t="s">
        <v>42</v>
      </c>
      <c r="U165" s="8"/>
      <c r="W165" s="8"/>
      <c r="Y165" s="8"/>
      <c r="AA165" s="8"/>
      <c r="AC165" s="8"/>
      <c r="AE165" s="8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</row>
    <row r="166" spans="2:43" x14ac:dyDescent="0.4">
      <c r="B166" s="16">
        <v>44437</v>
      </c>
      <c r="C166" s="15">
        <v>0.91388888888888886</v>
      </c>
      <c r="D166" s="21">
        <f t="shared" si="6"/>
        <v>44437.913888888892</v>
      </c>
      <c r="E166" s="25">
        <v>164</v>
      </c>
      <c r="F166" s="1">
        <v>9</v>
      </c>
      <c r="G166" s="1">
        <f>VLOOKUP(F166,監督フォーメーション!$A$2:$C$15,3,FALSE)</f>
        <v>3142</v>
      </c>
      <c r="H166" s="1">
        <v>1316</v>
      </c>
      <c r="I166" s="1">
        <v>1200</v>
      </c>
      <c r="J166" s="1">
        <v>4123</v>
      </c>
      <c r="K166" s="9">
        <v>0.63</v>
      </c>
      <c r="L166" s="1">
        <v>10</v>
      </c>
      <c r="M166" s="9">
        <v>0.89</v>
      </c>
      <c r="N166" s="1">
        <f t="shared" si="8"/>
        <v>6</v>
      </c>
      <c r="O166" s="1">
        <f t="shared" si="9"/>
        <v>1</v>
      </c>
      <c r="P166" s="1" t="str">
        <f t="shared" si="7"/>
        <v>勝</v>
      </c>
      <c r="Q166" s="8" t="s">
        <v>43</v>
      </c>
      <c r="R166" s="17" t="s">
        <v>44</v>
      </c>
      <c r="S166" s="8" t="s">
        <v>42</v>
      </c>
      <c r="T166" s="17" t="s">
        <v>63</v>
      </c>
      <c r="U166" s="8" t="s">
        <v>42</v>
      </c>
      <c r="V166" s="17" t="s">
        <v>43</v>
      </c>
      <c r="W166" s="8" t="s">
        <v>44</v>
      </c>
      <c r="X166" s="17" t="s">
        <v>63</v>
      </c>
      <c r="Y166" s="8" t="s">
        <v>42</v>
      </c>
      <c r="Z166" s="17" t="s">
        <v>43</v>
      </c>
      <c r="AA166" s="8" t="s">
        <v>41</v>
      </c>
      <c r="AB166" s="17" t="s">
        <v>43</v>
      </c>
      <c r="AC166" s="8" t="s">
        <v>12</v>
      </c>
      <c r="AD166" s="17" t="s">
        <v>23</v>
      </c>
      <c r="AE166" s="8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</row>
    <row r="167" spans="2:43" x14ac:dyDescent="0.4">
      <c r="B167" s="16">
        <v>44437</v>
      </c>
      <c r="C167" s="15">
        <v>0.9243055555555556</v>
      </c>
      <c r="D167" s="21">
        <f t="shared" si="6"/>
        <v>44437.924305555556</v>
      </c>
      <c r="E167" s="25">
        <v>165</v>
      </c>
      <c r="F167" s="1">
        <v>9</v>
      </c>
      <c r="G167" s="1">
        <f>VLOOKUP(F167,監督フォーメーション!$A$2:$C$15,3,FALSE)</f>
        <v>3142</v>
      </c>
      <c r="H167" s="1">
        <v>1323</v>
      </c>
      <c r="I167" s="1">
        <v>1613</v>
      </c>
      <c r="J167" s="1">
        <v>3223</v>
      </c>
      <c r="K167" s="9">
        <v>0.63</v>
      </c>
      <c r="L167" s="1">
        <v>6</v>
      </c>
      <c r="M167" s="9">
        <v>0.86</v>
      </c>
      <c r="N167" s="1">
        <f t="shared" si="8"/>
        <v>3</v>
      </c>
      <c r="O167" s="1">
        <f t="shared" si="9"/>
        <v>4</v>
      </c>
      <c r="P167" s="1" t="str">
        <f t="shared" si="7"/>
        <v>負</v>
      </c>
      <c r="Q167" s="8" t="s">
        <v>44</v>
      </c>
      <c r="R167" s="17" t="s">
        <v>23</v>
      </c>
      <c r="S167" s="8" t="s">
        <v>12</v>
      </c>
      <c r="T167" s="17" t="s">
        <v>23</v>
      </c>
      <c r="U167" s="8" t="s">
        <v>12</v>
      </c>
      <c r="V167" s="17" t="s">
        <v>23</v>
      </c>
      <c r="W167" s="8" t="s">
        <v>106</v>
      </c>
      <c r="X167" s="17" t="s">
        <v>43</v>
      </c>
      <c r="Y167" s="8" t="s">
        <v>12</v>
      </c>
      <c r="Z167" s="17" t="s">
        <v>23</v>
      </c>
      <c r="AA167" s="8" t="s">
        <v>12</v>
      </c>
      <c r="AB167" s="17" t="s">
        <v>23</v>
      </c>
      <c r="AC167" s="8" t="s">
        <v>106</v>
      </c>
      <c r="AD167" s="17" t="s">
        <v>43</v>
      </c>
      <c r="AE167" s="8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</row>
    <row r="168" spans="2:43" x14ac:dyDescent="0.4">
      <c r="B168" s="16">
        <v>44437</v>
      </c>
      <c r="C168" s="15">
        <v>0.93263888888888891</v>
      </c>
      <c r="D168" s="21">
        <f t="shared" si="6"/>
        <v>44437.932638888888</v>
      </c>
      <c r="E168" s="25">
        <v>166</v>
      </c>
      <c r="F168" s="1">
        <v>9</v>
      </c>
      <c r="G168" s="1">
        <f>VLOOKUP(F168,監督フォーメーション!$A$2:$C$15,3,FALSE)</f>
        <v>3142</v>
      </c>
      <c r="H168" s="1">
        <v>1320</v>
      </c>
      <c r="I168" s="1">
        <v>1202</v>
      </c>
      <c r="J168" s="1">
        <v>3313</v>
      </c>
      <c r="K168" s="9">
        <v>0.61</v>
      </c>
      <c r="L168" s="1">
        <v>2</v>
      </c>
      <c r="M168" s="9">
        <v>0.83</v>
      </c>
      <c r="N168" s="1">
        <f t="shared" si="8"/>
        <v>1</v>
      </c>
      <c r="O168" s="1">
        <f t="shared" si="9"/>
        <v>2</v>
      </c>
      <c r="P168" s="1" t="str">
        <f t="shared" si="7"/>
        <v>負</v>
      </c>
      <c r="Q168" s="8" t="s">
        <v>12</v>
      </c>
      <c r="R168" s="17" t="s">
        <v>23</v>
      </c>
      <c r="S168" s="8" t="s">
        <v>12</v>
      </c>
      <c r="T168" s="17" t="s">
        <v>23</v>
      </c>
      <c r="U168" s="8" t="s">
        <v>41</v>
      </c>
      <c r="V168" s="17" t="s">
        <v>23</v>
      </c>
      <c r="W168" s="8"/>
      <c r="Y168" s="8"/>
      <c r="AA168" s="8"/>
      <c r="AC168" s="8"/>
      <c r="AE168" s="8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</row>
    <row r="169" spans="2:43" x14ac:dyDescent="0.4">
      <c r="B169" s="16">
        <v>44437</v>
      </c>
      <c r="C169" s="15">
        <v>0.94097222222222221</v>
      </c>
      <c r="D169" s="21">
        <f t="shared" si="6"/>
        <v>44437.940972222219</v>
      </c>
      <c r="E169" s="25">
        <v>167</v>
      </c>
      <c r="F169" s="1">
        <v>9</v>
      </c>
      <c r="G169" s="1">
        <f>VLOOKUP(F169,監督フォーメーション!$A$2:$C$15,3,FALSE)</f>
        <v>3142</v>
      </c>
      <c r="H169" s="1">
        <v>1306</v>
      </c>
      <c r="I169" s="1">
        <v>1174</v>
      </c>
      <c r="J169" s="1">
        <v>4213</v>
      </c>
      <c r="K169" s="9">
        <v>0.54</v>
      </c>
      <c r="L169" s="1">
        <v>4</v>
      </c>
      <c r="M169" s="9">
        <v>0.87</v>
      </c>
      <c r="N169" s="1">
        <f t="shared" si="8"/>
        <v>1</v>
      </c>
      <c r="O169" s="1">
        <f t="shared" si="9"/>
        <v>3</v>
      </c>
      <c r="P169" s="1" t="str">
        <f t="shared" si="7"/>
        <v>負</v>
      </c>
      <c r="Q169" s="8" t="s">
        <v>12</v>
      </c>
      <c r="R169" s="17" t="s">
        <v>23</v>
      </c>
      <c r="S169" s="8" t="s">
        <v>12</v>
      </c>
      <c r="T169" s="17" t="s">
        <v>23</v>
      </c>
      <c r="U169" s="8" t="s">
        <v>12</v>
      </c>
      <c r="V169" s="17" t="s">
        <v>23</v>
      </c>
      <c r="W169" s="8" t="s">
        <v>44</v>
      </c>
      <c r="X169" s="17" t="s">
        <v>41</v>
      </c>
      <c r="Y169" s="8"/>
      <c r="AA169" s="8"/>
      <c r="AC169" s="8"/>
      <c r="AE169" s="8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</row>
    <row r="170" spans="2:43" x14ac:dyDescent="0.4">
      <c r="B170" s="16">
        <v>44437</v>
      </c>
      <c r="C170" s="15">
        <v>0.94930555555555562</v>
      </c>
      <c r="D170" s="21">
        <f t="shared" si="6"/>
        <v>44437.949305555558</v>
      </c>
      <c r="E170" s="25">
        <v>168</v>
      </c>
      <c r="F170" s="1">
        <v>9</v>
      </c>
      <c r="G170" s="1">
        <f>VLOOKUP(F170,監督フォーメーション!$A$2:$C$15,3,FALSE)</f>
        <v>3142</v>
      </c>
      <c r="H170" s="1">
        <v>1291</v>
      </c>
      <c r="I170" s="1">
        <v>1328</v>
      </c>
      <c r="J170" s="1">
        <v>4312</v>
      </c>
      <c r="K170" s="9">
        <v>0.5</v>
      </c>
      <c r="L170" s="1">
        <v>7</v>
      </c>
      <c r="M170" s="9">
        <v>0.85</v>
      </c>
      <c r="N170" s="1">
        <f t="shared" si="8"/>
        <v>2</v>
      </c>
      <c r="O170" s="1">
        <f t="shared" si="9"/>
        <v>3</v>
      </c>
      <c r="P170" s="1" t="str">
        <f t="shared" si="7"/>
        <v>負</v>
      </c>
      <c r="Q170" s="8" t="s">
        <v>12</v>
      </c>
      <c r="R170" s="17" t="s">
        <v>23</v>
      </c>
      <c r="S170" s="8" t="s">
        <v>43</v>
      </c>
      <c r="T170" s="17" t="s">
        <v>44</v>
      </c>
      <c r="U170" s="8" t="s">
        <v>12</v>
      </c>
      <c r="V170" s="17" t="s">
        <v>23</v>
      </c>
      <c r="W170" s="8" t="s">
        <v>12</v>
      </c>
      <c r="X170" s="17" t="s">
        <v>23</v>
      </c>
      <c r="Y170" s="8" t="s">
        <v>42</v>
      </c>
      <c r="Z170" s="17" t="s">
        <v>40</v>
      </c>
      <c r="AA170" s="8"/>
      <c r="AC170" s="8"/>
      <c r="AE170" s="8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</row>
    <row r="171" spans="2:43" x14ac:dyDescent="0.4">
      <c r="B171" s="16">
        <v>44437</v>
      </c>
      <c r="C171" s="15">
        <v>0.95694444444444438</v>
      </c>
      <c r="D171" s="21">
        <f t="shared" ref="D171:D234" si="10">B171+C171</f>
        <v>44437.956944444442</v>
      </c>
      <c r="E171" s="25">
        <v>169</v>
      </c>
      <c r="F171" s="1">
        <v>9</v>
      </c>
      <c r="G171" s="1">
        <f>VLOOKUP(F171,監督フォーメーション!$A$2:$C$15,3,FALSE)</f>
        <v>3142</v>
      </c>
      <c r="H171" s="1">
        <v>1282</v>
      </c>
      <c r="I171" s="1">
        <v>1222</v>
      </c>
      <c r="J171" s="1">
        <v>4222</v>
      </c>
      <c r="K171" s="9" t="s">
        <v>13</v>
      </c>
      <c r="L171" s="1" t="s">
        <v>13</v>
      </c>
      <c r="M171" s="9" t="s">
        <v>13</v>
      </c>
      <c r="N171" s="1">
        <f t="shared" si="8"/>
        <v>3</v>
      </c>
      <c r="O171" s="1">
        <f t="shared" si="9"/>
        <v>2</v>
      </c>
      <c r="P171" s="1" t="str">
        <f t="shared" si="7"/>
        <v>勝</v>
      </c>
      <c r="Q171" s="8" t="s">
        <v>12</v>
      </c>
      <c r="R171" s="17" t="s">
        <v>23</v>
      </c>
      <c r="S171" s="8" t="s">
        <v>42</v>
      </c>
      <c r="T171" s="17" t="s">
        <v>41</v>
      </c>
      <c r="U171" s="8" t="s">
        <v>42</v>
      </c>
      <c r="V171" s="17" t="s">
        <v>23</v>
      </c>
      <c r="W171" s="8" t="s">
        <v>41</v>
      </c>
      <c r="X171" s="17" t="s">
        <v>42</v>
      </c>
      <c r="Y171" s="8" t="s">
        <v>12</v>
      </c>
      <c r="Z171" s="17" t="s">
        <v>23</v>
      </c>
      <c r="AA171" s="8"/>
      <c r="AC171" s="8"/>
      <c r="AE171" s="8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</row>
    <row r="172" spans="2:43" x14ac:dyDescent="0.4">
      <c r="B172" s="16">
        <v>44437</v>
      </c>
      <c r="C172" s="15">
        <v>0.96319444444444446</v>
      </c>
      <c r="D172" s="21">
        <f t="shared" si="10"/>
        <v>44437.963194444441</v>
      </c>
      <c r="E172" s="25">
        <v>170</v>
      </c>
      <c r="F172" s="1">
        <v>9</v>
      </c>
      <c r="G172" s="1">
        <f>VLOOKUP(F172,監督フォーメーション!$A$2:$C$15,3,FALSE)</f>
        <v>3142</v>
      </c>
      <c r="H172" s="1">
        <v>1292</v>
      </c>
      <c r="I172" s="1">
        <v>1288</v>
      </c>
      <c r="J172" s="1">
        <v>5212</v>
      </c>
      <c r="K172" s="9">
        <v>0.63</v>
      </c>
      <c r="L172" s="1">
        <v>2</v>
      </c>
      <c r="M172" s="9">
        <v>0.83</v>
      </c>
      <c r="N172" s="1">
        <f t="shared" si="8"/>
        <v>1</v>
      </c>
      <c r="O172" s="1">
        <f t="shared" si="9"/>
        <v>0</v>
      </c>
      <c r="P172" s="1" t="str">
        <f t="shared" si="7"/>
        <v>勝</v>
      </c>
      <c r="Q172" s="8" t="s">
        <v>42</v>
      </c>
      <c r="R172" s="17" t="s">
        <v>43</v>
      </c>
      <c r="S172" s="8"/>
      <c r="U172" s="8"/>
      <c r="W172" s="8"/>
      <c r="Y172" s="8"/>
      <c r="AA172" s="8"/>
      <c r="AC172" s="8"/>
      <c r="AE172" s="8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</row>
    <row r="173" spans="2:43" x14ac:dyDescent="0.4">
      <c r="B173" s="16">
        <v>44437</v>
      </c>
      <c r="C173" s="15">
        <v>0.97013888888888899</v>
      </c>
      <c r="D173" s="21">
        <f t="shared" si="10"/>
        <v>44437.970138888886</v>
      </c>
      <c r="E173" s="25">
        <v>171</v>
      </c>
      <c r="F173" s="1">
        <v>9</v>
      </c>
      <c r="G173" s="1">
        <f>VLOOKUP(F173,監督フォーメーション!$A$2:$C$15,3,FALSE)</f>
        <v>3142</v>
      </c>
      <c r="H173" s="1">
        <v>1303</v>
      </c>
      <c r="I173" s="1">
        <v>1350</v>
      </c>
      <c r="J173" s="1">
        <v>433</v>
      </c>
      <c r="K173" s="9">
        <v>0.54</v>
      </c>
      <c r="L173" s="1">
        <v>5</v>
      </c>
      <c r="M173" s="9">
        <v>0.83</v>
      </c>
      <c r="N173" s="1">
        <f t="shared" si="8"/>
        <v>1</v>
      </c>
      <c r="O173" s="1">
        <f t="shared" si="9"/>
        <v>1</v>
      </c>
      <c r="P173" s="1" t="str">
        <f t="shared" si="7"/>
        <v>引</v>
      </c>
      <c r="Q173" s="8" t="s">
        <v>12</v>
      </c>
      <c r="R173" s="17" t="s">
        <v>23</v>
      </c>
      <c r="S173" s="8" t="s">
        <v>42</v>
      </c>
      <c r="T173" s="17" t="s">
        <v>43</v>
      </c>
      <c r="U173" s="8"/>
      <c r="W173" s="8"/>
      <c r="Y173" s="8"/>
      <c r="AA173" s="8"/>
      <c r="AC173" s="8"/>
      <c r="AE173" s="8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</row>
    <row r="174" spans="2:43" x14ac:dyDescent="0.4">
      <c r="B174" s="16">
        <v>44446</v>
      </c>
      <c r="C174" s="15">
        <v>0.69305555555555554</v>
      </c>
      <c r="D174" s="21">
        <f t="shared" si="10"/>
        <v>44446.693055555559</v>
      </c>
      <c r="E174" s="25">
        <v>172</v>
      </c>
      <c r="F174" s="1">
        <v>9</v>
      </c>
      <c r="G174" s="1">
        <f>VLOOKUP(F174,監督フォーメーション!$A$2:$C$15,3,FALSE)</f>
        <v>3142</v>
      </c>
      <c r="H174" s="1">
        <v>1307</v>
      </c>
      <c r="I174" s="1" t="s">
        <v>9</v>
      </c>
      <c r="J174" s="1">
        <v>433</v>
      </c>
      <c r="K174" s="9">
        <v>0.44</v>
      </c>
      <c r="L174" s="1">
        <v>4</v>
      </c>
      <c r="M174" s="9">
        <v>0.8</v>
      </c>
      <c r="N174" s="1">
        <f t="shared" si="8"/>
        <v>3</v>
      </c>
      <c r="O174" s="1">
        <f t="shared" si="9"/>
        <v>1</v>
      </c>
      <c r="P174" s="1" t="str">
        <f t="shared" si="7"/>
        <v>勝</v>
      </c>
      <c r="Q174" s="8" t="s">
        <v>41</v>
      </c>
      <c r="R174" s="17" t="s">
        <v>42</v>
      </c>
      <c r="S174" s="8" t="s">
        <v>42</v>
      </c>
      <c r="T174" s="17" t="s">
        <v>23</v>
      </c>
      <c r="U174" s="8" t="s">
        <v>12</v>
      </c>
      <c r="V174" s="17" t="s">
        <v>23</v>
      </c>
      <c r="W174" s="8" t="s">
        <v>41</v>
      </c>
      <c r="X174" s="17" t="s">
        <v>42</v>
      </c>
      <c r="Y174" s="8"/>
      <c r="AA174" s="8"/>
      <c r="AC174" s="8"/>
      <c r="AE174" s="8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</row>
    <row r="175" spans="2:43" x14ac:dyDescent="0.4">
      <c r="B175" s="16">
        <v>44446</v>
      </c>
      <c r="C175" s="15">
        <v>0.86111111111111116</v>
      </c>
      <c r="D175" s="21">
        <f t="shared" si="10"/>
        <v>44446.861111111109</v>
      </c>
      <c r="E175" s="25">
        <v>173</v>
      </c>
      <c r="F175" s="1">
        <v>9</v>
      </c>
      <c r="G175" s="1">
        <f>VLOOKUP(F175,監督フォーメーション!$A$2:$C$15,3,FALSE)</f>
        <v>3142</v>
      </c>
      <c r="H175" s="1">
        <v>1307</v>
      </c>
      <c r="I175" s="1">
        <v>1169</v>
      </c>
      <c r="J175" s="1">
        <v>3142</v>
      </c>
      <c r="K175" s="9">
        <v>0.56999999999999995</v>
      </c>
      <c r="L175" s="1">
        <v>4</v>
      </c>
      <c r="M175" s="9">
        <v>0.78</v>
      </c>
      <c r="N175" s="1">
        <f t="shared" si="8"/>
        <v>2</v>
      </c>
      <c r="O175" s="1">
        <f t="shared" si="9"/>
        <v>1</v>
      </c>
      <c r="P175" s="1" t="str">
        <f t="shared" si="7"/>
        <v>勝</v>
      </c>
      <c r="Q175" s="8" t="s">
        <v>12</v>
      </c>
      <c r="R175" s="17" t="s">
        <v>23</v>
      </c>
      <c r="S175" s="8" t="s">
        <v>43</v>
      </c>
      <c r="T175" s="17" t="s">
        <v>23</v>
      </c>
      <c r="U175" s="8" t="s">
        <v>43</v>
      </c>
      <c r="V175" s="17" t="s">
        <v>23</v>
      </c>
      <c r="W175" s="8"/>
      <c r="Y175" s="8"/>
      <c r="AA175" s="8"/>
      <c r="AC175" s="8"/>
      <c r="AE175" s="8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</row>
    <row r="176" spans="2:43" x14ac:dyDescent="0.4">
      <c r="B176" s="16">
        <v>44446</v>
      </c>
      <c r="C176" s="15">
        <v>0.8618055555555556</v>
      </c>
      <c r="D176" s="21">
        <f t="shared" si="10"/>
        <v>44446.861805555556</v>
      </c>
      <c r="E176" s="25">
        <v>174</v>
      </c>
      <c r="F176" s="1">
        <v>9</v>
      </c>
      <c r="G176" s="1">
        <f>VLOOKUP(F176,監督フォーメーション!$A$2:$C$15,3,FALSE)</f>
        <v>3142</v>
      </c>
      <c r="H176" s="1">
        <v>1314</v>
      </c>
      <c r="I176" s="1">
        <v>1200</v>
      </c>
      <c r="J176" s="1">
        <v>4312</v>
      </c>
      <c r="K176" s="9">
        <v>0.54</v>
      </c>
      <c r="L176" s="1">
        <v>3</v>
      </c>
      <c r="M176" s="9">
        <v>0.83</v>
      </c>
      <c r="N176" s="1">
        <f t="shared" si="8"/>
        <v>2</v>
      </c>
      <c r="O176" s="1">
        <f t="shared" si="9"/>
        <v>2</v>
      </c>
      <c r="P176" s="1" t="str">
        <f t="shared" si="7"/>
        <v>引</v>
      </c>
      <c r="Q176" s="8" t="s">
        <v>12</v>
      </c>
      <c r="R176" s="17" t="s">
        <v>23</v>
      </c>
      <c r="S176" s="8" t="s">
        <v>12</v>
      </c>
      <c r="T176" s="17" t="s">
        <v>23</v>
      </c>
      <c r="U176" s="8" t="s">
        <v>42</v>
      </c>
      <c r="V176" s="17" t="s">
        <v>63</v>
      </c>
      <c r="W176" s="8" t="s">
        <v>50</v>
      </c>
      <c r="X176" s="17" t="s">
        <v>23</v>
      </c>
      <c r="Y176" s="8"/>
      <c r="AA176" s="8"/>
      <c r="AC176" s="8"/>
      <c r="AE176" s="8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</row>
    <row r="177" spans="2:31" x14ac:dyDescent="0.4">
      <c r="B177" s="16">
        <v>44446</v>
      </c>
      <c r="C177" s="15">
        <v>0.87013888888888891</v>
      </c>
      <c r="D177" s="21">
        <f t="shared" si="10"/>
        <v>44446.870138888888</v>
      </c>
      <c r="E177" s="25">
        <v>175</v>
      </c>
      <c r="F177" s="1">
        <v>8</v>
      </c>
      <c r="G177" s="1">
        <f>VLOOKUP(F177,監督フォーメーション!$A$2:$C$15,3,FALSE)</f>
        <v>3142</v>
      </c>
      <c r="H177" s="1">
        <v>1311</v>
      </c>
      <c r="I177" s="1">
        <v>1342</v>
      </c>
      <c r="J177" s="1">
        <v>4213</v>
      </c>
      <c r="K177" s="9">
        <v>0.51</v>
      </c>
      <c r="L177" s="1">
        <v>8</v>
      </c>
      <c r="M177" s="9">
        <v>0.84</v>
      </c>
      <c r="N177" s="1">
        <f t="shared" si="8"/>
        <v>4</v>
      </c>
      <c r="O177" s="1">
        <f t="shared" si="9"/>
        <v>3</v>
      </c>
      <c r="P177" s="1" t="str">
        <f t="shared" si="7"/>
        <v>勝</v>
      </c>
      <c r="Q177" s="8" t="s">
        <v>12</v>
      </c>
      <c r="R177" s="17" t="s">
        <v>23</v>
      </c>
      <c r="S177" s="8" t="s">
        <v>12</v>
      </c>
      <c r="T177" s="17" t="s">
        <v>23</v>
      </c>
      <c r="U177" s="8" t="s">
        <v>12</v>
      </c>
      <c r="V177" s="17" t="s">
        <v>23</v>
      </c>
      <c r="W177" s="8" t="s">
        <v>116</v>
      </c>
      <c r="X177" s="17" t="s">
        <v>42</v>
      </c>
      <c r="Y177" s="8" t="s">
        <v>42</v>
      </c>
      <c r="Z177" s="8" t="s">
        <v>116</v>
      </c>
      <c r="AA177" s="8" t="s">
        <v>42</v>
      </c>
      <c r="AB177" s="17" t="s">
        <v>44</v>
      </c>
      <c r="AC177" s="8" t="s">
        <v>50</v>
      </c>
      <c r="AD177" s="17" t="s">
        <v>41</v>
      </c>
      <c r="AE177" s="8"/>
    </row>
    <row r="178" spans="2:31" x14ac:dyDescent="0.4">
      <c r="B178" s="16">
        <v>44446</v>
      </c>
      <c r="C178" s="15">
        <v>0.87847222222222221</v>
      </c>
      <c r="D178" s="21">
        <f t="shared" si="10"/>
        <v>44446.878472222219</v>
      </c>
      <c r="E178" s="25">
        <v>176</v>
      </c>
      <c r="F178" s="1">
        <v>8</v>
      </c>
      <c r="G178" s="1">
        <f>VLOOKUP(F178,監督フォーメーション!$A$2:$C$15,3,FALSE)</f>
        <v>3142</v>
      </c>
      <c r="H178" s="1">
        <v>1323</v>
      </c>
      <c r="J178" s="1">
        <v>4213</v>
      </c>
      <c r="K178" s="9">
        <v>0.59</v>
      </c>
      <c r="L178" s="1">
        <v>4</v>
      </c>
      <c r="M178" s="9">
        <v>0.82</v>
      </c>
      <c r="N178" s="1">
        <f t="shared" si="8"/>
        <v>2</v>
      </c>
      <c r="O178" s="1">
        <f t="shared" si="9"/>
        <v>0</v>
      </c>
      <c r="P178" s="1" t="str">
        <f t="shared" si="7"/>
        <v>勝</v>
      </c>
      <c r="Q178" s="8" t="s">
        <v>44</v>
      </c>
      <c r="R178" s="17" t="s">
        <v>63</v>
      </c>
      <c r="S178" s="8" t="s">
        <v>43</v>
      </c>
      <c r="T178" s="17" t="s">
        <v>23</v>
      </c>
      <c r="U178" s="8"/>
      <c r="W178" s="8"/>
      <c r="Y178" s="8"/>
      <c r="AA178" s="8"/>
      <c r="AC178" s="8"/>
      <c r="AE178" s="8"/>
    </row>
    <row r="179" spans="2:31" x14ac:dyDescent="0.4">
      <c r="B179" s="16">
        <v>44446</v>
      </c>
      <c r="C179" s="15">
        <v>0.89513888888888893</v>
      </c>
      <c r="D179" s="21">
        <f t="shared" si="10"/>
        <v>44446.895138888889</v>
      </c>
      <c r="E179" s="25">
        <v>177</v>
      </c>
      <c r="F179" s="1">
        <v>8</v>
      </c>
      <c r="G179" s="1">
        <f>VLOOKUP(F179,監督フォーメーション!$A$2:$C$15,3,FALSE)</f>
        <v>3142</v>
      </c>
      <c r="H179" s="1">
        <v>1332</v>
      </c>
      <c r="J179" s="1">
        <v>3241</v>
      </c>
      <c r="K179" s="9">
        <v>0.59</v>
      </c>
      <c r="L179" s="1">
        <v>4</v>
      </c>
      <c r="M179" s="9">
        <v>0.87</v>
      </c>
      <c r="N179" s="1">
        <f t="shared" si="8"/>
        <v>3</v>
      </c>
      <c r="O179" s="1">
        <f t="shared" si="9"/>
        <v>1</v>
      </c>
      <c r="P179" s="1" t="str">
        <f t="shared" si="7"/>
        <v>勝</v>
      </c>
      <c r="Q179" s="8" t="s">
        <v>41</v>
      </c>
      <c r="R179" s="17" t="s">
        <v>42</v>
      </c>
      <c r="S179" s="8" t="s">
        <v>23</v>
      </c>
      <c r="T179" s="17" t="s">
        <v>23</v>
      </c>
      <c r="U179" s="8" t="s">
        <v>42</v>
      </c>
      <c r="V179" s="17" t="s">
        <v>23</v>
      </c>
      <c r="W179" s="8" t="s">
        <v>12</v>
      </c>
      <c r="X179" s="17" t="s">
        <v>23</v>
      </c>
      <c r="Y179" s="8"/>
      <c r="AA179" s="8"/>
      <c r="AC179" s="8"/>
      <c r="AE179" s="8"/>
    </row>
    <row r="180" spans="2:31" x14ac:dyDescent="0.4">
      <c r="B180" s="16">
        <v>44446</v>
      </c>
      <c r="C180" s="15">
        <v>0.89583333333333337</v>
      </c>
      <c r="D180" s="21">
        <f t="shared" si="10"/>
        <v>44446.895833333336</v>
      </c>
      <c r="E180" s="25">
        <v>178</v>
      </c>
      <c r="F180" s="1">
        <v>8</v>
      </c>
      <c r="G180" s="1">
        <f>VLOOKUP(F180,監督フォーメーション!$A$2:$C$15,3,FALSE)</f>
        <v>3142</v>
      </c>
      <c r="H180" s="1">
        <v>1342</v>
      </c>
      <c r="I180" s="1">
        <v>1195</v>
      </c>
      <c r="J180" s="1">
        <v>5212</v>
      </c>
      <c r="K180" s="9">
        <v>0.45</v>
      </c>
      <c r="L180" s="1">
        <v>4</v>
      </c>
      <c r="M180" s="9">
        <v>0.83</v>
      </c>
      <c r="N180" s="1">
        <f t="shared" si="8"/>
        <v>1</v>
      </c>
      <c r="O180" s="1">
        <f t="shared" si="9"/>
        <v>4</v>
      </c>
      <c r="P180" s="1" t="str">
        <f t="shared" si="7"/>
        <v>負</v>
      </c>
      <c r="Q180" s="8" t="s">
        <v>42</v>
      </c>
      <c r="R180" s="17" t="s">
        <v>44</v>
      </c>
      <c r="S180" s="8" t="s">
        <v>12</v>
      </c>
      <c r="T180" s="17" t="s">
        <v>23</v>
      </c>
      <c r="U180" s="8" t="s">
        <v>12</v>
      </c>
      <c r="V180" s="17" t="s">
        <v>23</v>
      </c>
      <c r="W180" s="8" t="s">
        <v>12</v>
      </c>
      <c r="X180" s="17" t="s">
        <v>23</v>
      </c>
      <c r="Y180" s="8" t="s">
        <v>12</v>
      </c>
      <c r="Z180" s="17" t="s">
        <v>23</v>
      </c>
      <c r="AA180" s="8"/>
      <c r="AC180" s="8"/>
      <c r="AE180" s="8"/>
    </row>
    <row r="181" spans="2:31" x14ac:dyDescent="0.4">
      <c r="B181" s="16">
        <v>44446</v>
      </c>
      <c r="C181" s="15">
        <v>0.90347222222222223</v>
      </c>
      <c r="D181" s="21">
        <f t="shared" si="10"/>
        <v>44446.90347222222</v>
      </c>
      <c r="E181" s="25">
        <v>179</v>
      </c>
      <c r="F181" s="1">
        <v>8</v>
      </c>
      <c r="G181" s="1">
        <f>VLOOKUP(F181,監督フォーメーション!$A$2:$C$15,3,FALSE)</f>
        <v>3142</v>
      </c>
      <c r="H181" s="1">
        <v>1328</v>
      </c>
      <c r="J181" s="1">
        <v>3313</v>
      </c>
      <c r="K181" s="9">
        <v>0.63</v>
      </c>
      <c r="L181" s="1">
        <v>6</v>
      </c>
      <c r="M181" s="9">
        <v>0.74</v>
      </c>
      <c r="N181" s="1">
        <f t="shared" si="8"/>
        <v>2</v>
      </c>
      <c r="O181" s="1">
        <f t="shared" si="9"/>
        <v>1</v>
      </c>
      <c r="P181" s="1" t="str">
        <f t="shared" si="7"/>
        <v>勝</v>
      </c>
      <c r="Q181" s="1" t="s">
        <v>41</v>
      </c>
      <c r="R181" s="17" t="s">
        <v>63</v>
      </c>
      <c r="S181" s="8" t="s">
        <v>12</v>
      </c>
      <c r="T181" s="17" t="s">
        <v>23</v>
      </c>
      <c r="U181" s="8" t="s">
        <v>42</v>
      </c>
      <c r="V181" s="17" t="s">
        <v>23</v>
      </c>
      <c r="W181" s="8"/>
      <c r="Y181" s="8"/>
      <c r="AA181" s="8"/>
      <c r="AC181" s="8"/>
      <c r="AE181" s="8"/>
    </row>
    <row r="182" spans="2:31" x14ac:dyDescent="0.4">
      <c r="B182" s="16">
        <v>44447</v>
      </c>
      <c r="C182" s="15">
        <v>0.35000000000000003</v>
      </c>
      <c r="D182" s="21">
        <f t="shared" si="10"/>
        <v>44447.35</v>
      </c>
      <c r="E182" s="25">
        <v>180</v>
      </c>
      <c r="F182" s="1">
        <v>8</v>
      </c>
      <c r="G182" s="1">
        <f>VLOOKUP(F182,監督フォーメーション!$A$2:$C$15,3,FALSE)</f>
        <v>3142</v>
      </c>
      <c r="H182" s="1">
        <v>1343</v>
      </c>
      <c r="I182" s="1">
        <v>1569</v>
      </c>
      <c r="J182" s="1">
        <v>5212</v>
      </c>
      <c r="K182" s="9">
        <v>0.47</v>
      </c>
      <c r="L182" s="1">
        <v>3</v>
      </c>
      <c r="M182" s="9">
        <v>0.78</v>
      </c>
      <c r="N182" s="1">
        <f t="shared" si="8"/>
        <v>0</v>
      </c>
      <c r="O182" s="1">
        <f t="shared" si="9"/>
        <v>2</v>
      </c>
      <c r="P182" s="1" t="str">
        <f t="shared" si="7"/>
        <v>負</v>
      </c>
      <c r="Q182" s="1" t="s">
        <v>12</v>
      </c>
      <c r="R182" s="17" t="s">
        <v>23</v>
      </c>
      <c r="S182" s="8" t="s">
        <v>12</v>
      </c>
      <c r="T182" s="17" t="s">
        <v>23</v>
      </c>
      <c r="U182" s="8"/>
      <c r="W182" s="8"/>
      <c r="Y182" s="8"/>
      <c r="AA182" s="8"/>
      <c r="AC182" s="8"/>
      <c r="AE182" s="8"/>
    </row>
    <row r="183" spans="2:31" x14ac:dyDescent="0.4">
      <c r="B183" s="16">
        <v>44448</v>
      </c>
      <c r="C183" s="15">
        <v>0.35000000000000003</v>
      </c>
      <c r="D183" s="21">
        <f t="shared" si="10"/>
        <v>44448.35</v>
      </c>
      <c r="E183" s="25">
        <v>181</v>
      </c>
      <c r="F183" s="1">
        <v>8</v>
      </c>
      <c r="G183" s="1">
        <f>VLOOKUP(F183,監督フォーメーション!$A$2:$C$15,3,FALSE)</f>
        <v>3142</v>
      </c>
      <c r="H183" s="1">
        <v>1339</v>
      </c>
      <c r="I183" s="1">
        <v>1340</v>
      </c>
      <c r="J183" s="1">
        <v>5212</v>
      </c>
      <c r="K183" s="9">
        <v>0.57999999999999996</v>
      </c>
      <c r="L183" s="1">
        <v>3</v>
      </c>
      <c r="M183" s="9">
        <v>0.85</v>
      </c>
      <c r="N183" s="1">
        <f t="shared" si="8"/>
        <v>2</v>
      </c>
      <c r="O183" s="1">
        <f t="shared" si="9"/>
        <v>2</v>
      </c>
      <c r="P183" s="1" t="str">
        <f t="shared" si="7"/>
        <v>引</v>
      </c>
      <c r="Q183" s="1" t="s">
        <v>41</v>
      </c>
      <c r="R183" s="17" t="s">
        <v>23</v>
      </c>
      <c r="S183" s="8" t="s">
        <v>42</v>
      </c>
      <c r="T183" s="17" t="s">
        <v>46</v>
      </c>
      <c r="U183" s="8" t="s">
        <v>12</v>
      </c>
      <c r="V183" s="17" t="s">
        <v>23</v>
      </c>
      <c r="W183" s="8" t="s">
        <v>12</v>
      </c>
      <c r="X183" s="17" t="s">
        <v>23</v>
      </c>
      <c r="Y183" s="8"/>
      <c r="AA183" s="8"/>
      <c r="AC183" s="8"/>
      <c r="AE183" s="8"/>
    </row>
    <row r="184" spans="2:31" x14ac:dyDescent="0.4">
      <c r="B184" s="16">
        <v>44449</v>
      </c>
      <c r="C184" s="15">
        <v>0.35000000000000003</v>
      </c>
      <c r="D184" s="21">
        <f t="shared" si="10"/>
        <v>44449.35</v>
      </c>
      <c r="E184" s="25">
        <v>182</v>
      </c>
      <c r="F184" s="1">
        <v>8</v>
      </c>
      <c r="G184" s="1">
        <f>VLOOKUP(F184,監督フォーメーション!$A$2:$C$15,3,FALSE)</f>
        <v>3142</v>
      </c>
      <c r="H184" s="1">
        <v>1340</v>
      </c>
      <c r="I184" s="1">
        <v>1380</v>
      </c>
      <c r="J184" s="1">
        <v>4312</v>
      </c>
      <c r="K184" s="9">
        <v>0.56000000000000005</v>
      </c>
      <c r="L184" s="1">
        <v>2</v>
      </c>
      <c r="M184" s="9">
        <v>0.86</v>
      </c>
      <c r="N184" s="1">
        <f t="shared" si="8"/>
        <v>0</v>
      </c>
      <c r="O184" s="1">
        <f t="shared" si="9"/>
        <v>0</v>
      </c>
      <c r="P184" s="1" t="str">
        <f t="shared" si="7"/>
        <v>引</v>
      </c>
      <c r="S184" s="8"/>
      <c r="U184" s="8"/>
      <c r="W184" s="8"/>
      <c r="Y184" s="8"/>
      <c r="AA184" s="8"/>
      <c r="AC184" s="8"/>
      <c r="AE184" s="8"/>
    </row>
    <row r="185" spans="2:31" x14ac:dyDescent="0.4">
      <c r="B185" s="16">
        <v>44449</v>
      </c>
      <c r="C185" s="15">
        <v>0.35069444444444442</v>
      </c>
      <c r="D185" s="21">
        <f t="shared" si="10"/>
        <v>44449.350694444445</v>
      </c>
      <c r="E185" s="25">
        <v>183</v>
      </c>
      <c r="F185" s="1">
        <v>8</v>
      </c>
      <c r="G185" s="1">
        <f>VLOOKUP(F185,監督フォーメーション!$A$2:$C$15,3,FALSE)</f>
        <v>3142</v>
      </c>
      <c r="H185" s="1">
        <v>1345</v>
      </c>
      <c r="J185" s="1">
        <v>4312</v>
      </c>
      <c r="K185" s="9">
        <v>0.66</v>
      </c>
      <c r="L185" s="1">
        <v>5</v>
      </c>
      <c r="M185" s="9">
        <v>0.87</v>
      </c>
      <c r="N185" s="1">
        <f t="shared" si="8"/>
        <v>1</v>
      </c>
      <c r="O185" s="1">
        <f t="shared" si="9"/>
        <v>1</v>
      </c>
      <c r="P185" s="1" t="str">
        <f t="shared" si="7"/>
        <v>引</v>
      </c>
      <c r="Q185" s="1" t="s">
        <v>12</v>
      </c>
      <c r="R185" s="17" t="s">
        <v>23</v>
      </c>
      <c r="S185" s="8" t="s">
        <v>43</v>
      </c>
      <c r="T185" s="17" t="s">
        <v>115</v>
      </c>
      <c r="U185" s="8"/>
      <c r="W185" s="8"/>
      <c r="Y185" s="8"/>
      <c r="AA185" s="8"/>
      <c r="AC185" s="8"/>
      <c r="AE185" s="8"/>
    </row>
    <row r="186" spans="2:31" x14ac:dyDescent="0.4">
      <c r="B186" s="16">
        <v>44449</v>
      </c>
      <c r="C186" s="15">
        <v>0.35138888888888892</v>
      </c>
      <c r="D186" s="21">
        <f t="shared" si="10"/>
        <v>44449.351388888892</v>
      </c>
      <c r="E186" s="25">
        <v>184</v>
      </c>
      <c r="F186" s="1">
        <v>8</v>
      </c>
      <c r="G186" s="1">
        <f>VLOOKUP(F186,監督フォーメーション!$A$2:$C$15,3,FALSE)</f>
        <v>3142</v>
      </c>
      <c r="H186" s="1">
        <v>1345</v>
      </c>
      <c r="I186" s="1">
        <v>1380</v>
      </c>
      <c r="J186" s="1">
        <v>5212</v>
      </c>
      <c r="K186" s="9">
        <v>0.57999999999999996</v>
      </c>
      <c r="L186" s="1">
        <v>5</v>
      </c>
      <c r="M186" s="9">
        <v>0.86</v>
      </c>
      <c r="N186" s="1">
        <f t="shared" si="8"/>
        <v>2</v>
      </c>
      <c r="O186" s="1">
        <f t="shared" si="9"/>
        <v>2</v>
      </c>
      <c r="P186" s="1" t="str">
        <f t="shared" si="7"/>
        <v>引</v>
      </c>
      <c r="Q186" s="1" t="s">
        <v>12</v>
      </c>
      <c r="R186" s="17" t="s">
        <v>23</v>
      </c>
      <c r="S186" s="8" t="s">
        <v>12</v>
      </c>
      <c r="T186" s="17" t="s">
        <v>23</v>
      </c>
      <c r="U186" s="8" t="s">
        <v>54</v>
      </c>
      <c r="V186" s="17" t="s">
        <v>23</v>
      </c>
      <c r="W186" s="8" t="s">
        <v>50</v>
      </c>
      <c r="X186" s="17" t="s">
        <v>63</v>
      </c>
      <c r="Y186" s="8"/>
      <c r="AA186" s="8"/>
      <c r="AC186" s="8"/>
      <c r="AE186" s="8"/>
    </row>
    <row r="187" spans="2:31" x14ac:dyDescent="0.4">
      <c r="B187" s="16">
        <v>44449</v>
      </c>
      <c r="C187" s="15">
        <v>0.3520833333333333</v>
      </c>
      <c r="D187" s="21">
        <f t="shared" si="10"/>
        <v>44449.352083333331</v>
      </c>
      <c r="E187" s="25">
        <v>185</v>
      </c>
      <c r="F187" s="1">
        <v>8</v>
      </c>
      <c r="G187" s="1">
        <f>VLOOKUP(F187,監督フォーメーション!$A$2:$C$15,3,FALSE)</f>
        <v>3142</v>
      </c>
      <c r="H187" s="1">
        <v>1351</v>
      </c>
      <c r="J187" s="1">
        <v>5212</v>
      </c>
      <c r="K187" s="9">
        <v>0.46</v>
      </c>
      <c r="L187" s="1">
        <v>3</v>
      </c>
      <c r="M187" s="9">
        <v>0.89</v>
      </c>
      <c r="N187" s="1">
        <f t="shared" si="8"/>
        <v>0</v>
      </c>
      <c r="O187" s="1">
        <f t="shared" si="9"/>
        <v>1</v>
      </c>
      <c r="P187" s="1" t="str">
        <f t="shared" si="7"/>
        <v>負</v>
      </c>
      <c r="Q187" s="1" t="s">
        <v>12</v>
      </c>
      <c r="R187" s="17" t="s">
        <v>23</v>
      </c>
      <c r="S187" s="8"/>
      <c r="U187" s="8"/>
      <c r="W187" s="8"/>
      <c r="Y187" s="8"/>
      <c r="AA187" s="8"/>
      <c r="AC187" s="8"/>
      <c r="AE187" s="8"/>
    </row>
    <row r="188" spans="2:31" x14ac:dyDescent="0.4">
      <c r="B188" s="16">
        <v>44449</v>
      </c>
      <c r="C188" s="15">
        <v>0.99513888888888891</v>
      </c>
      <c r="D188" s="21">
        <f t="shared" si="10"/>
        <v>44449.995138888888</v>
      </c>
      <c r="E188" s="25">
        <v>186</v>
      </c>
      <c r="F188" s="1">
        <v>8</v>
      </c>
      <c r="G188" s="1">
        <f>VLOOKUP(F188,監督フォーメーション!$A$2:$C$15,3,FALSE)</f>
        <v>3142</v>
      </c>
      <c r="H188" s="1">
        <v>1336</v>
      </c>
      <c r="J188" s="1">
        <v>3223</v>
      </c>
      <c r="K188" s="9">
        <v>0.56000000000000005</v>
      </c>
      <c r="L188" s="1">
        <v>9</v>
      </c>
      <c r="M188" s="9">
        <v>0.83</v>
      </c>
      <c r="N188" s="1">
        <f t="shared" si="8"/>
        <v>4</v>
      </c>
      <c r="O188" s="1">
        <f t="shared" si="9"/>
        <v>1</v>
      </c>
      <c r="P188" s="1" t="str">
        <f t="shared" si="7"/>
        <v>勝</v>
      </c>
      <c r="Q188" s="1" t="s">
        <v>41</v>
      </c>
      <c r="R188" s="17" t="s">
        <v>23</v>
      </c>
      <c r="S188" s="8" t="s">
        <v>44</v>
      </c>
      <c r="T188" s="17" t="s">
        <v>43</v>
      </c>
      <c r="U188" s="8" t="s">
        <v>12</v>
      </c>
      <c r="V188" s="17" t="s">
        <v>23</v>
      </c>
      <c r="W188" s="8" t="s">
        <v>59</v>
      </c>
      <c r="X188" s="17" t="s">
        <v>23</v>
      </c>
      <c r="Y188" s="8" t="s">
        <v>50</v>
      </c>
      <c r="Z188" s="17" t="s">
        <v>63</v>
      </c>
      <c r="AA188" s="8"/>
      <c r="AC188" s="8"/>
      <c r="AE188" s="8"/>
    </row>
    <row r="189" spans="2:31" x14ac:dyDescent="0.4">
      <c r="B189" s="16">
        <v>44449</v>
      </c>
      <c r="C189" s="15">
        <v>0.99583333333333324</v>
      </c>
      <c r="D189" s="21">
        <f t="shared" si="10"/>
        <v>44449.995833333334</v>
      </c>
      <c r="E189" s="25">
        <v>187</v>
      </c>
      <c r="F189" s="1">
        <v>8</v>
      </c>
      <c r="G189" s="1">
        <f>VLOOKUP(F189,監督フォーメーション!$A$2:$C$15,3,FALSE)</f>
        <v>3142</v>
      </c>
      <c r="H189" s="1">
        <v>1344</v>
      </c>
      <c r="J189" s="1">
        <v>343</v>
      </c>
      <c r="K189" s="9">
        <v>0.6</v>
      </c>
      <c r="L189" s="1">
        <v>5</v>
      </c>
      <c r="M189" s="9">
        <v>0.8</v>
      </c>
      <c r="N189" s="1">
        <f t="shared" si="8"/>
        <v>2</v>
      </c>
      <c r="O189" s="1">
        <f t="shared" si="9"/>
        <v>1</v>
      </c>
      <c r="P189" s="1" t="str">
        <f t="shared" si="7"/>
        <v>勝</v>
      </c>
      <c r="Q189" s="1" t="s">
        <v>42</v>
      </c>
      <c r="R189" s="17" t="s">
        <v>117</v>
      </c>
      <c r="S189" s="8" t="s">
        <v>42</v>
      </c>
      <c r="T189" s="17" t="s">
        <v>117</v>
      </c>
      <c r="U189" s="8" t="s">
        <v>12</v>
      </c>
      <c r="V189" s="17" t="s">
        <v>23</v>
      </c>
      <c r="W189" s="8"/>
      <c r="Y189" s="8"/>
      <c r="AA189" s="8"/>
      <c r="AC189" s="8"/>
      <c r="AE189" s="8"/>
    </row>
    <row r="190" spans="2:31" x14ac:dyDescent="0.4">
      <c r="B190" s="16">
        <v>44450</v>
      </c>
      <c r="C190" s="15">
        <v>3.472222222222222E-3</v>
      </c>
      <c r="D190" s="21">
        <f t="shared" si="10"/>
        <v>44450.003472222219</v>
      </c>
      <c r="E190" s="25">
        <v>188</v>
      </c>
      <c r="F190" s="1">
        <v>8</v>
      </c>
      <c r="G190" s="1">
        <f>VLOOKUP(F190,監督フォーメーション!$A$2:$C$15,3,FALSE)</f>
        <v>3142</v>
      </c>
      <c r="H190" s="1">
        <v>1362</v>
      </c>
      <c r="I190" s="1">
        <v>1551</v>
      </c>
      <c r="J190" s="1">
        <v>4312</v>
      </c>
      <c r="K190" s="9">
        <v>0.53</v>
      </c>
      <c r="L190" s="1">
        <v>4</v>
      </c>
      <c r="M190" s="9">
        <v>0.76</v>
      </c>
      <c r="N190" s="1">
        <f t="shared" si="8"/>
        <v>2</v>
      </c>
      <c r="O190" s="1">
        <f t="shared" si="9"/>
        <v>3</v>
      </c>
      <c r="P190" s="1" t="str">
        <f t="shared" si="7"/>
        <v>負</v>
      </c>
      <c r="Q190" s="1" t="s">
        <v>44</v>
      </c>
      <c r="R190" s="17" t="s">
        <v>42</v>
      </c>
      <c r="S190" s="8" t="s">
        <v>42</v>
      </c>
      <c r="T190" s="17" t="s">
        <v>116</v>
      </c>
      <c r="U190" s="8" t="s">
        <v>12</v>
      </c>
      <c r="V190" s="17" t="s">
        <v>23</v>
      </c>
      <c r="W190" s="8" t="s">
        <v>12</v>
      </c>
      <c r="X190" s="17" t="s">
        <v>23</v>
      </c>
      <c r="Y190" s="8" t="s">
        <v>12</v>
      </c>
      <c r="Z190" s="17" t="s">
        <v>23</v>
      </c>
      <c r="AA190" s="8"/>
      <c r="AC190" s="8"/>
      <c r="AE190" s="8"/>
    </row>
    <row r="191" spans="2:31" x14ac:dyDescent="0.4">
      <c r="B191" s="16">
        <v>44450</v>
      </c>
      <c r="C191" s="15">
        <v>1.2499999999999999E-2</v>
      </c>
      <c r="D191" s="21">
        <f t="shared" si="10"/>
        <v>44450.012499999997</v>
      </c>
      <c r="E191" s="25">
        <v>189</v>
      </c>
      <c r="F191" s="1">
        <v>8</v>
      </c>
      <c r="G191" s="1">
        <f>VLOOKUP(F191,監督フォーメーション!$A$2:$C$15,3,FALSE)</f>
        <v>3142</v>
      </c>
      <c r="H191" s="1">
        <v>1357</v>
      </c>
      <c r="I191" s="1">
        <v>1168</v>
      </c>
      <c r="J191" s="1">
        <v>4312</v>
      </c>
      <c r="K191" s="9">
        <v>0.55000000000000004</v>
      </c>
      <c r="L191" s="1">
        <v>4</v>
      </c>
      <c r="M191" s="9">
        <v>0.85</v>
      </c>
      <c r="N191" s="1">
        <f t="shared" si="8"/>
        <v>1</v>
      </c>
      <c r="O191" s="1">
        <f t="shared" si="9"/>
        <v>0</v>
      </c>
      <c r="P191" s="1" t="str">
        <f t="shared" si="7"/>
        <v>勝</v>
      </c>
      <c r="Q191" s="1" t="s">
        <v>116</v>
      </c>
      <c r="R191" s="17" t="s">
        <v>42</v>
      </c>
      <c r="S191" s="8"/>
      <c r="U191" s="8"/>
      <c r="W191" s="8"/>
      <c r="Y191" s="8"/>
      <c r="AA191" s="8"/>
      <c r="AC191" s="8"/>
      <c r="AE191" s="8"/>
    </row>
    <row r="192" spans="2:31" x14ac:dyDescent="0.4">
      <c r="B192" s="16">
        <v>44450</v>
      </c>
      <c r="C192" s="15">
        <v>1.9444444444444445E-2</v>
      </c>
      <c r="D192" s="21">
        <f t="shared" si="10"/>
        <v>44450.019444444442</v>
      </c>
      <c r="E192" s="25">
        <v>190</v>
      </c>
      <c r="F192" s="1">
        <v>8</v>
      </c>
      <c r="G192" s="1">
        <f>VLOOKUP(F192,監督フォーメーション!$A$2:$C$15,3,FALSE)</f>
        <v>3142</v>
      </c>
      <c r="H192" s="1">
        <v>1363</v>
      </c>
      <c r="I192" s="1">
        <v>1410</v>
      </c>
      <c r="J192" s="1">
        <v>5212</v>
      </c>
      <c r="K192" s="9">
        <v>0.65</v>
      </c>
      <c r="L192" s="1">
        <v>2</v>
      </c>
      <c r="M192" s="9">
        <v>0.81</v>
      </c>
      <c r="N192" s="1">
        <f t="shared" si="8"/>
        <v>1</v>
      </c>
      <c r="O192" s="1">
        <f t="shared" si="9"/>
        <v>2</v>
      </c>
      <c r="P192" s="1" t="str">
        <f t="shared" si="7"/>
        <v>負</v>
      </c>
      <c r="Q192" s="1" t="s">
        <v>116</v>
      </c>
      <c r="R192" s="17" t="s">
        <v>44</v>
      </c>
      <c r="S192" s="8" t="s">
        <v>12</v>
      </c>
      <c r="T192" s="17" t="s">
        <v>23</v>
      </c>
      <c r="U192" s="8" t="s">
        <v>12</v>
      </c>
      <c r="V192" s="17" t="s">
        <v>23</v>
      </c>
      <c r="W192" s="8"/>
      <c r="Y192" s="8"/>
      <c r="AA192" s="8"/>
      <c r="AC192" s="8"/>
      <c r="AE192" s="8"/>
    </row>
    <row r="193" spans="2:31" x14ac:dyDescent="0.4">
      <c r="B193" s="16">
        <v>44450</v>
      </c>
      <c r="C193" s="15">
        <v>2.6388888888888889E-2</v>
      </c>
      <c r="D193" s="21">
        <f t="shared" si="10"/>
        <v>44450.026388888888</v>
      </c>
      <c r="E193" s="25">
        <v>191</v>
      </c>
      <c r="F193" s="1">
        <v>8</v>
      </c>
      <c r="G193" s="1">
        <f>VLOOKUP(F193,監督フォーメーション!$A$2:$C$15,3,FALSE)</f>
        <v>3142</v>
      </c>
      <c r="H193" s="1">
        <v>1354</v>
      </c>
      <c r="I193" s="1">
        <v>1344</v>
      </c>
      <c r="J193" s="1">
        <v>4213</v>
      </c>
      <c r="K193" s="9">
        <v>0.46</v>
      </c>
      <c r="L193" s="1">
        <v>5</v>
      </c>
      <c r="M193" s="9">
        <v>0.86</v>
      </c>
      <c r="N193" s="1">
        <f t="shared" si="8"/>
        <v>1</v>
      </c>
      <c r="O193" s="1">
        <f t="shared" si="9"/>
        <v>2</v>
      </c>
      <c r="P193" s="1" t="str">
        <f t="shared" si="7"/>
        <v>負</v>
      </c>
      <c r="Q193" s="1" t="s">
        <v>12</v>
      </c>
      <c r="R193" s="17" t="s">
        <v>23</v>
      </c>
      <c r="S193" s="8" t="s">
        <v>12</v>
      </c>
      <c r="T193" s="17" t="s">
        <v>23</v>
      </c>
      <c r="U193" s="8" t="s">
        <v>44</v>
      </c>
      <c r="W193"/>
      <c r="Y193" s="8"/>
      <c r="AA193" s="8"/>
      <c r="AC193" s="8"/>
      <c r="AE193" s="8"/>
    </row>
    <row r="194" spans="2:31" x14ac:dyDescent="0.4">
      <c r="B194" s="16">
        <v>44450</v>
      </c>
      <c r="C194" s="15">
        <v>3.3333333333333333E-2</v>
      </c>
      <c r="D194" s="21">
        <f t="shared" si="10"/>
        <v>44450.033333333333</v>
      </c>
      <c r="E194" s="25">
        <v>192</v>
      </c>
      <c r="F194" s="1">
        <v>8</v>
      </c>
      <c r="G194" s="1">
        <f>VLOOKUP(F194,監督フォーメーション!$A$2:$C$15,3,FALSE)</f>
        <v>3142</v>
      </c>
      <c r="H194" s="1">
        <v>1344</v>
      </c>
      <c r="I194" s="1">
        <v>1075</v>
      </c>
      <c r="J194" s="1">
        <v>4312</v>
      </c>
      <c r="K194" s="9">
        <v>0.6</v>
      </c>
      <c r="L194" s="1">
        <v>5</v>
      </c>
      <c r="M194" s="9">
        <v>0.81</v>
      </c>
      <c r="N194" s="1">
        <f t="shared" si="8"/>
        <v>3</v>
      </c>
      <c r="O194" s="1">
        <f t="shared" si="9"/>
        <v>1</v>
      </c>
      <c r="P194" s="1" t="str">
        <f t="shared" si="7"/>
        <v>勝</v>
      </c>
      <c r="Q194" s="1" t="s">
        <v>44</v>
      </c>
      <c r="R194" s="17" t="s">
        <v>41</v>
      </c>
      <c r="S194" s="8" t="s">
        <v>42</v>
      </c>
      <c r="T194" s="17" t="s">
        <v>116</v>
      </c>
      <c r="U194" s="8" t="s">
        <v>12</v>
      </c>
      <c r="V194" s="17" t="s">
        <v>23</v>
      </c>
      <c r="W194" s="8" t="s">
        <v>116</v>
      </c>
      <c r="X194" s="17" t="s">
        <v>42</v>
      </c>
      <c r="Y194" s="8"/>
      <c r="AA194" s="8"/>
      <c r="AC194" s="8"/>
      <c r="AE194" s="8"/>
    </row>
    <row r="195" spans="2:31" x14ac:dyDescent="0.4">
      <c r="B195" s="16">
        <v>44450</v>
      </c>
      <c r="C195" s="15">
        <v>4.027777777777778E-2</v>
      </c>
      <c r="D195" s="21">
        <f t="shared" si="10"/>
        <v>44450.040277777778</v>
      </c>
      <c r="E195" s="25">
        <v>193</v>
      </c>
      <c r="F195" s="1">
        <v>8</v>
      </c>
      <c r="G195" s="1">
        <f>VLOOKUP(F195,監督フォーメーション!$A$2:$C$15,3,FALSE)</f>
        <v>3142</v>
      </c>
      <c r="H195" s="1">
        <v>1347</v>
      </c>
      <c r="I195" s="1">
        <v>1220</v>
      </c>
      <c r="J195" s="1">
        <v>3241</v>
      </c>
      <c r="K195" s="9" t="s">
        <v>13</v>
      </c>
      <c r="L195" s="1" t="s">
        <v>13</v>
      </c>
      <c r="M195" s="9" t="s">
        <v>13</v>
      </c>
      <c r="N195" s="1">
        <f t="shared" si="8"/>
        <v>4</v>
      </c>
      <c r="O195" s="1">
        <f t="shared" si="9"/>
        <v>0</v>
      </c>
      <c r="P195" s="1" t="str">
        <f t="shared" ref="P195:P258" si="11">IF(N195-O195&gt;0,"勝",IF(N195-O195&lt;0,"負","引"))</f>
        <v>勝</v>
      </c>
      <c r="Q195" s="1" t="s">
        <v>23</v>
      </c>
      <c r="R195" s="17" t="s">
        <v>23</v>
      </c>
      <c r="S195" s="8" t="s">
        <v>116</v>
      </c>
      <c r="T195" s="17" t="s">
        <v>42</v>
      </c>
      <c r="U195" s="8" t="s">
        <v>42</v>
      </c>
      <c r="V195" s="17" t="s">
        <v>63</v>
      </c>
      <c r="W195" s="8" t="s">
        <v>50</v>
      </c>
      <c r="X195" s="17" t="s">
        <v>59</v>
      </c>
      <c r="Y195" s="8"/>
      <c r="AA195" s="8"/>
      <c r="AC195" s="8"/>
      <c r="AE195" s="8"/>
    </row>
    <row r="196" spans="2:31" x14ac:dyDescent="0.4">
      <c r="B196" s="16">
        <v>44450</v>
      </c>
      <c r="C196" s="15">
        <v>4.7222222222222221E-2</v>
      </c>
      <c r="D196" s="21">
        <f t="shared" si="10"/>
        <v>44450.047222222223</v>
      </c>
      <c r="E196" s="25">
        <v>194</v>
      </c>
      <c r="F196" s="1">
        <v>8</v>
      </c>
      <c r="G196" s="1">
        <f>VLOOKUP(F196,監督フォーメーション!$A$2:$C$15,3,FALSE)</f>
        <v>3142</v>
      </c>
      <c r="H196" s="1">
        <v>1343</v>
      </c>
      <c r="I196" s="1">
        <v>1279</v>
      </c>
      <c r="J196" s="1">
        <v>5212</v>
      </c>
      <c r="K196" s="9"/>
      <c r="M196" s="9"/>
      <c r="N196" s="1">
        <f t="shared" si="8"/>
        <v>1</v>
      </c>
      <c r="O196" s="1">
        <f t="shared" si="9"/>
        <v>3</v>
      </c>
      <c r="P196" s="1" t="str">
        <f t="shared" si="11"/>
        <v>負</v>
      </c>
      <c r="Q196" s="1" t="s">
        <v>12</v>
      </c>
      <c r="R196" s="17" t="s">
        <v>23</v>
      </c>
      <c r="S196" s="8" t="s">
        <v>12</v>
      </c>
      <c r="T196" s="17" t="s">
        <v>23</v>
      </c>
      <c r="U196" s="8" t="s">
        <v>41</v>
      </c>
      <c r="V196" s="17" t="s">
        <v>23</v>
      </c>
      <c r="W196" s="8" t="s">
        <v>12</v>
      </c>
      <c r="X196" s="17" t="s">
        <v>23</v>
      </c>
      <c r="Y196" s="8"/>
      <c r="AA196" s="8"/>
      <c r="AC196" s="8"/>
      <c r="AE196" s="8"/>
    </row>
    <row r="197" spans="2:31" x14ac:dyDescent="0.4">
      <c r="B197" s="16">
        <v>44457</v>
      </c>
      <c r="C197" s="15">
        <v>0.70208333333333339</v>
      </c>
      <c r="D197" s="21">
        <f t="shared" si="10"/>
        <v>44457.70208333333</v>
      </c>
      <c r="E197" s="25">
        <v>195</v>
      </c>
      <c r="F197" s="1">
        <v>8</v>
      </c>
      <c r="G197" s="1">
        <f>VLOOKUP(F197,監督フォーメーション!$A$2:$C$15,3,FALSE)</f>
        <v>3142</v>
      </c>
      <c r="H197" s="1">
        <v>1331</v>
      </c>
      <c r="I197" s="1">
        <v>1246</v>
      </c>
      <c r="J197" s="1">
        <v>532</v>
      </c>
      <c r="K197" s="9">
        <v>0.59</v>
      </c>
      <c r="L197" s="1">
        <v>4</v>
      </c>
      <c r="M197" s="9">
        <v>0.85</v>
      </c>
      <c r="N197" s="1">
        <f t="shared" si="8"/>
        <v>2</v>
      </c>
      <c r="O197" s="1">
        <f t="shared" si="9"/>
        <v>2</v>
      </c>
      <c r="P197" s="1" t="str">
        <f t="shared" si="11"/>
        <v>引</v>
      </c>
      <c r="Q197" s="1" t="s">
        <v>116</v>
      </c>
      <c r="R197" s="17" t="s">
        <v>42</v>
      </c>
      <c r="S197" s="8" t="s">
        <v>42</v>
      </c>
      <c r="T197" s="17" t="s">
        <v>41</v>
      </c>
      <c r="U197" s="8" t="s">
        <v>12</v>
      </c>
      <c r="V197" s="17" t="s">
        <v>23</v>
      </c>
      <c r="W197" s="8" t="s">
        <v>12</v>
      </c>
      <c r="X197" s="17" t="s">
        <v>23</v>
      </c>
      <c r="Y197" s="8"/>
      <c r="AA197" s="8"/>
      <c r="AC197" s="8"/>
      <c r="AE197" s="8"/>
    </row>
    <row r="198" spans="2:31" x14ac:dyDescent="0.4">
      <c r="B198" s="16">
        <v>44457</v>
      </c>
      <c r="C198" s="15">
        <v>0.7090277777777777</v>
      </c>
      <c r="D198" s="21">
        <f t="shared" si="10"/>
        <v>44457.709027777775</v>
      </c>
      <c r="E198" s="25">
        <v>196</v>
      </c>
      <c r="F198" s="1">
        <v>8</v>
      </c>
      <c r="G198" s="1">
        <f>VLOOKUP(F198,監督フォーメーション!$A$2:$C$15,3,FALSE)</f>
        <v>3142</v>
      </c>
      <c r="H198" s="1">
        <v>1329</v>
      </c>
      <c r="J198" s="1">
        <v>4213</v>
      </c>
      <c r="K198" s="9">
        <v>0.55000000000000004</v>
      </c>
      <c r="L198" s="1">
        <v>7</v>
      </c>
      <c r="M198" s="9">
        <v>0.82</v>
      </c>
      <c r="N198" s="1">
        <f t="shared" si="8"/>
        <v>5</v>
      </c>
      <c r="O198" s="1">
        <f t="shared" si="9"/>
        <v>1</v>
      </c>
      <c r="P198" s="1" t="str">
        <f t="shared" si="11"/>
        <v>勝</v>
      </c>
      <c r="Q198" s="1" t="s">
        <v>42</v>
      </c>
      <c r="R198" s="17" t="s">
        <v>63</v>
      </c>
      <c r="S198" s="8" t="s">
        <v>42</v>
      </c>
      <c r="T198" s="17" t="s">
        <v>116</v>
      </c>
      <c r="U198" s="8" t="s">
        <v>12</v>
      </c>
      <c r="V198" s="17" t="s">
        <v>23</v>
      </c>
      <c r="W198" s="8" t="s">
        <v>40</v>
      </c>
      <c r="X198" s="17" t="s">
        <v>41</v>
      </c>
      <c r="Y198" s="8" t="s">
        <v>42</v>
      </c>
      <c r="Z198" s="17" t="s">
        <v>23</v>
      </c>
      <c r="AA198" s="8" t="s">
        <v>41</v>
      </c>
      <c r="AB198" s="17" t="s">
        <v>42</v>
      </c>
      <c r="AC198" s="8"/>
      <c r="AE198" s="8"/>
    </row>
    <row r="199" spans="2:31" x14ac:dyDescent="0.4">
      <c r="B199" s="16">
        <v>44457</v>
      </c>
      <c r="C199" s="15">
        <v>0.71597222222222223</v>
      </c>
      <c r="D199" s="21">
        <f t="shared" si="10"/>
        <v>44457.71597222222</v>
      </c>
      <c r="E199" s="25">
        <v>197</v>
      </c>
      <c r="F199" s="1">
        <v>8</v>
      </c>
      <c r="G199" s="1">
        <f>VLOOKUP(F199,監督フォーメーション!$A$2:$C$15,3,FALSE)</f>
        <v>3142</v>
      </c>
      <c r="H199" s="1">
        <v>1335</v>
      </c>
      <c r="I199" s="1">
        <v>1212</v>
      </c>
      <c r="J199" s="1">
        <v>4213</v>
      </c>
      <c r="K199" s="9">
        <v>0.56999999999999995</v>
      </c>
      <c r="L199" s="1">
        <v>6</v>
      </c>
      <c r="M199" s="9">
        <v>0.85</v>
      </c>
      <c r="N199" s="1">
        <f t="shared" si="8"/>
        <v>4</v>
      </c>
      <c r="O199" s="1">
        <f t="shared" si="9"/>
        <v>1</v>
      </c>
      <c r="P199" s="1" t="str">
        <f t="shared" si="11"/>
        <v>勝</v>
      </c>
      <c r="Q199" s="1" t="s">
        <v>44</v>
      </c>
      <c r="R199" s="17" t="s">
        <v>46</v>
      </c>
      <c r="S199" s="8" t="s">
        <v>12</v>
      </c>
      <c r="T199" s="17" t="s">
        <v>23</v>
      </c>
      <c r="U199" s="8" t="s">
        <v>116</v>
      </c>
      <c r="V199" s="17" t="s">
        <v>23</v>
      </c>
      <c r="W199" s="8" t="s">
        <v>116</v>
      </c>
      <c r="X199" s="17" t="s">
        <v>46</v>
      </c>
      <c r="Y199" s="8" t="s">
        <v>44</v>
      </c>
      <c r="Z199" s="17" t="s">
        <v>116</v>
      </c>
      <c r="AA199" s="8"/>
      <c r="AC199" s="8"/>
      <c r="AE199" s="8"/>
    </row>
    <row r="200" spans="2:31" x14ac:dyDescent="0.4">
      <c r="B200" s="16">
        <v>44457</v>
      </c>
      <c r="C200" s="15">
        <v>0.72638888888888886</v>
      </c>
      <c r="D200" s="21">
        <f t="shared" si="10"/>
        <v>44457.726388888892</v>
      </c>
      <c r="E200" s="25">
        <v>198</v>
      </c>
      <c r="F200" s="1">
        <v>8</v>
      </c>
      <c r="G200" s="1">
        <f>VLOOKUP(F200,監督フォーメーション!$A$2:$C$15,3,FALSE)</f>
        <v>3142</v>
      </c>
      <c r="H200" s="1">
        <v>1336</v>
      </c>
      <c r="I200" s="1">
        <v>1040</v>
      </c>
      <c r="J200" s="1">
        <v>4213</v>
      </c>
      <c r="K200" s="9" t="s">
        <v>13</v>
      </c>
      <c r="L200" s="1" t="s">
        <v>13</v>
      </c>
      <c r="M200" s="9" t="s">
        <v>13</v>
      </c>
      <c r="N200" s="1">
        <f t="shared" si="8"/>
        <v>4</v>
      </c>
      <c r="O200" s="1">
        <f t="shared" si="9"/>
        <v>0</v>
      </c>
      <c r="P200" s="1" t="str">
        <f t="shared" si="11"/>
        <v>勝</v>
      </c>
      <c r="Q200" s="1" t="s">
        <v>44</v>
      </c>
      <c r="R200" s="17" t="s">
        <v>46</v>
      </c>
      <c r="S200" s="8" t="s">
        <v>116</v>
      </c>
      <c r="T200" s="17" t="s">
        <v>46</v>
      </c>
      <c r="U200" s="8" t="s">
        <v>42</v>
      </c>
      <c r="V200" s="17" t="s">
        <v>44</v>
      </c>
      <c r="W200" s="8" t="s">
        <v>23</v>
      </c>
      <c r="Y200" s="8"/>
      <c r="AA200" s="8"/>
      <c r="AC200" s="8"/>
      <c r="AE200" s="8"/>
    </row>
    <row r="201" spans="2:31" x14ac:dyDescent="0.4">
      <c r="B201" s="16">
        <v>44457</v>
      </c>
      <c r="C201" s="15">
        <v>0.7402777777777777</v>
      </c>
      <c r="D201" s="21">
        <f t="shared" si="10"/>
        <v>44457.740277777775</v>
      </c>
      <c r="E201" s="25">
        <v>199</v>
      </c>
      <c r="F201" s="1">
        <v>8</v>
      </c>
      <c r="G201" s="1">
        <f>VLOOKUP(F201,監督フォーメーション!$A$2:$C$15,3,FALSE)</f>
        <v>3142</v>
      </c>
      <c r="H201" s="1">
        <v>1340</v>
      </c>
      <c r="I201" s="1">
        <v>1400</v>
      </c>
      <c r="J201" s="1">
        <v>4222</v>
      </c>
      <c r="K201" s="9">
        <v>0.59</v>
      </c>
      <c r="L201" s="1">
        <v>4</v>
      </c>
      <c r="M201" s="9">
        <v>0.82</v>
      </c>
      <c r="N201" s="1">
        <f t="shared" si="8"/>
        <v>1</v>
      </c>
      <c r="O201" s="1">
        <f t="shared" si="9"/>
        <v>1</v>
      </c>
      <c r="P201" s="1" t="str">
        <f t="shared" si="11"/>
        <v>引</v>
      </c>
      <c r="Q201" s="1" t="s">
        <v>12</v>
      </c>
      <c r="R201" s="17" t="s">
        <v>23</v>
      </c>
      <c r="S201" s="8" t="s">
        <v>42</v>
      </c>
      <c r="T201" s="17" t="s">
        <v>44</v>
      </c>
      <c r="U201" s="8"/>
      <c r="W201" s="8"/>
      <c r="Y201" s="8"/>
      <c r="AA201" s="8"/>
      <c r="AC201" s="8"/>
      <c r="AE201" s="8"/>
    </row>
    <row r="202" spans="2:31" x14ac:dyDescent="0.4">
      <c r="B202" s="16">
        <v>44457</v>
      </c>
      <c r="C202" s="15">
        <v>0.74236111111111114</v>
      </c>
      <c r="D202" s="21">
        <f t="shared" si="10"/>
        <v>44457.742361111108</v>
      </c>
      <c r="E202" s="25">
        <v>200</v>
      </c>
      <c r="F202" s="1">
        <v>8</v>
      </c>
      <c r="G202" s="1">
        <f>VLOOKUP(F202,監督フォーメーション!$A$2:$C$15,3,FALSE)</f>
        <v>3142</v>
      </c>
      <c r="H202" s="1">
        <v>1347</v>
      </c>
      <c r="J202" s="1">
        <v>4213</v>
      </c>
      <c r="K202" s="9">
        <v>0.49</v>
      </c>
      <c r="L202" s="1">
        <v>4</v>
      </c>
      <c r="M202" s="9">
        <v>0.83</v>
      </c>
      <c r="N202" s="1">
        <f t="shared" si="8"/>
        <v>3</v>
      </c>
      <c r="O202" s="1">
        <f t="shared" si="9"/>
        <v>2</v>
      </c>
      <c r="P202" s="1" t="str">
        <f t="shared" si="11"/>
        <v>勝</v>
      </c>
      <c r="Q202" s="1" t="s">
        <v>12</v>
      </c>
      <c r="R202" s="17" t="s">
        <v>23</v>
      </c>
      <c r="S202" s="8" t="s">
        <v>44</v>
      </c>
      <c r="T202" s="17" t="s">
        <v>63</v>
      </c>
      <c r="U202" s="8" t="s">
        <v>44</v>
      </c>
      <c r="V202" s="17" t="s">
        <v>42</v>
      </c>
      <c r="W202" s="8" t="s">
        <v>12</v>
      </c>
      <c r="X202" s="17" t="s">
        <v>23</v>
      </c>
      <c r="Y202" s="8" t="s">
        <v>50</v>
      </c>
      <c r="Z202" s="17" t="s">
        <v>23</v>
      </c>
      <c r="AA202" s="8"/>
      <c r="AC202" s="8"/>
      <c r="AE202" s="8"/>
    </row>
    <row r="203" spans="2:31" x14ac:dyDescent="0.4">
      <c r="B203" s="16">
        <v>44458</v>
      </c>
      <c r="C203" s="15">
        <v>0.8979166666666667</v>
      </c>
      <c r="D203" s="21">
        <f t="shared" si="10"/>
        <v>44458.897916666669</v>
      </c>
      <c r="E203" s="25">
        <v>201</v>
      </c>
      <c r="F203" s="1">
        <v>8</v>
      </c>
      <c r="G203" s="1">
        <f>VLOOKUP(F203,監督フォーメーション!$A$2:$C$15,3,FALSE)</f>
        <v>3142</v>
      </c>
      <c r="H203" s="1">
        <v>1354</v>
      </c>
      <c r="J203" s="1">
        <v>3232</v>
      </c>
      <c r="K203" s="9" t="s">
        <v>13</v>
      </c>
      <c r="L203" s="1" t="s">
        <v>13</v>
      </c>
      <c r="M203" s="9" t="s">
        <v>13</v>
      </c>
      <c r="N203" s="1">
        <f t="shared" si="8"/>
        <v>1</v>
      </c>
      <c r="O203" s="1">
        <f t="shared" si="9"/>
        <v>0</v>
      </c>
      <c r="P203" s="1" t="str">
        <f t="shared" si="11"/>
        <v>勝</v>
      </c>
      <c r="Q203" s="1" t="s">
        <v>23</v>
      </c>
      <c r="R203" s="17" t="s">
        <v>23</v>
      </c>
      <c r="S203" s="8"/>
      <c r="U203" s="8"/>
      <c r="W203" s="8"/>
      <c r="Y203" s="8"/>
      <c r="AA203" s="8"/>
      <c r="AC203" s="8"/>
      <c r="AE203" s="8"/>
    </row>
    <row r="204" spans="2:31" x14ac:dyDescent="0.4">
      <c r="B204" s="16">
        <v>44458</v>
      </c>
      <c r="C204" s="15">
        <v>0.89861111111111114</v>
      </c>
      <c r="D204" s="21">
        <f t="shared" si="10"/>
        <v>44458.898611111108</v>
      </c>
      <c r="E204" s="25">
        <v>202</v>
      </c>
      <c r="F204" s="1">
        <v>8</v>
      </c>
      <c r="G204" s="1">
        <f>VLOOKUP(F204,監督フォーメーション!$A$2:$C$15,3,FALSE)</f>
        <v>3142</v>
      </c>
      <c r="H204" s="1">
        <v>1364</v>
      </c>
      <c r="I204" s="1">
        <v>1408</v>
      </c>
      <c r="J204" s="1">
        <v>4132</v>
      </c>
      <c r="K204" s="9">
        <v>0.56000000000000005</v>
      </c>
      <c r="L204" s="1">
        <v>8</v>
      </c>
      <c r="M204" s="9">
        <v>0.85</v>
      </c>
      <c r="N204" s="1">
        <f t="shared" si="8"/>
        <v>4</v>
      </c>
      <c r="O204" s="1">
        <f t="shared" si="9"/>
        <v>3</v>
      </c>
      <c r="P204" s="1" t="str">
        <f t="shared" si="11"/>
        <v>勝</v>
      </c>
      <c r="Q204" s="1" t="s">
        <v>42</v>
      </c>
      <c r="R204" s="17" t="s">
        <v>46</v>
      </c>
      <c r="S204" s="8" t="s">
        <v>116</v>
      </c>
      <c r="T204" s="17" t="s">
        <v>46</v>
      </c>
      <c r="U204" s="8" t="s">
        <v>12</v>
      </c>
      <c r="V204" s="17" t="s">
        <v>23</v>
      </c>
      <c r="W204" s="8" t="s">
        <v>12</v>
      </c>
      <c r="X204" s="17" t="s">
        <v>23</v>
      </c>
      <c r="Y204" s="8" t="s">
        <v>116</v>
      </c>
      <c r="Z204" s="17" t="s">
        <v>23</v>
      </c>
      <c r="AA204" s="8" t="s">
        <v>50</v>
      </c>
      <c r="AB204" s="17" t="s">
        <v>46</v>
      </c>
      <c r="AC204" s="8" t="s">
        <v>12</v>
      </c>
      <c r="AD204" s="17" t="s">
        <v>23</v>
      </c>
      <c r="AE204" s="8"/>
    </row>
    <row r="205" spans="2:31" x14ac:dyDescent="0.4">
      <c r="B205" s="16">
        <v>44459</v>
      </c>
      <c r="C205" s="15">
        <v>0.51111111111111118</v>
      </c>
      <c r="D205" s="21">
        <f t="shared" si="10"/>
        <v>44459.511111111111</v>
      </c>
      <c r="E205" s="25">
        <v>203</v>
      </c>
      <c r="F205" s="1">
        <v>8</v>
      </c>
      <c r="G205" s="1">
        <f>VLOOKUP(F205,監督フォーメーション!$A$2:$C$15,3,FALSE)</f>
        <v>3142</v>
      </c>
      <c r="H205" s="1">
        <v>1376</v>
      </c>
      <c r="I205" s="1">
        <v>1463</v>
      </c>
      <c r="J205" s="1">
        <v>3232</v>
      </c>
      <c r="K205" s="9">
        <v>0.55000000000000004</v>
      </c>
      <c r="L205" s="1">
        <v>3</v>
      </c>
      <c r="M205" s="9">
        <v>0.81</v>
      </c>
      <c r="N205" s="1">
        <f t="shared" si="8"/>
        <v>0</v>
      </c>
      <c r="O205" s="1">
        <f t="shared" si="9"/>
        <v>1</v>
      </c>
      <c r="P205" s="1" t="str">
        <f t="shared" si="11"/>
        <v>負</v>
      </c>
      <c r="Q205" s="1" t="s">
        <v>12</v>
      </c>
      <c r="R205" s="17" t="s">
        <v>23</v>
      </c>
      <c r="S205" s="8"/>
      <c r="U205" s="8"/>
      <c r="W205" s="8"/>
      <c r="Y205" s="8"/>
      <c r="AA205" s="8"/>
      <c r="AC205" s="8"/>
      <c r="AE205" s="8"/>
    </row>
    <row r="206" spans="2:31" x14ac:dyDescent="0.4">
      <c r="B206" s="16">
        <v>44459</v>
      </c>
      <c r="C206" s="15">
        <v>0.5180555555555556</v>
      </c>
      <c r="D206" s="21">
        <f t="shared" si="10"/>
        <v>44459.518055555556</v>
      </c>
      <c r="E206" s="25">
        <v>204</v>
      </c>
      <c r="F206" s="1">
        <v>8</v>
      </c>
      <c r="G206" s="1">
        <f>VLOOKUP(F206,監督フォーメーション!$A$2:$C$15,3,FALSE)</f>
        <v>3142</v>
      </c>
      <c r="H206" s="1">
        <v>1368</v>
      </c>
      <c r="I206" s="1">
        <v>1423</v>
      </c>
      <c r="J206" s="1">
        <v>4213</v>
      </c>
      <c r="K206" s="9">
        <v>0.56000000000000005</v>
      </c>
      <c r="L206" s="1">
        <v>4</v>
      </c>
      <c r="M206" s="9">
        <v>0.81</v>
      </c>
      <c r="N206" s="1">
        <f t="shared" si="8"/>
        <v>1</v>
      </c>
      <c r="O206" s="1">
        <f t="shared" si="9"/>
        <v>2</v>
      </c>
      <c r="P206" s="1" t="str">
        <f t="shared" si="11"/>
        <v>負</v>
      </c>
      <c r="Q206" s="1" t="s">
        <v>41</v>
      </c>
      <c r="R206" s="17" t="s">
        <v>23</v>
      </c>
      <c r="S206" s="8" t="s">
        <v>12</v>
      </c>
      <c r="T206" s="17" t="s">
        <v>23</v>
      </c>
      <c r="U206" s="8" t="s">
        <v>12</v>
      </c>
      <c r="V206" s="17" t="s">
        <v>23</v>
      </c>
      <c r="W206" s="8"/>
      <c r="Y206" s="8"/>
      <c r="AA206" s="8"/>
      <c r="AC206" s="8"/>
      <c r="AE206" s="8"/>
    </row>
    <row r="207" spans="2:31" x14ac:dyDescent="0.4">
      <c r="B207" s="16">
        <v>44459</v>
      </c>
      <c r="C207" s="15">
        <v>0.52638888888888891</v>
      </c>
      <c r="D207" s="21">
        <f t="shared" si="10"/>
        <v>44459.526388888888</v>
      </c>
      <c r="E207" s="25">
        <v>205</v>
      </c>
      <c r="F207" s="1">
        <v>8</v>
      </c>
      <c r="G207" s="1">
        <f>VLOOKUP(F207,監督フォーメーション!$A$2:$C$15,3,FALSE)</f>
        <v>3142</v>
      </c>
      <c r="H207" s="1">
        <v>1370</v>
      </c>
      <c r="I207" s="1">
        <v>1350</v>
      </c>
      <c r="J207" s="1">
        <v>3232</v>
      </c>
      <c r="K207" s="9">
        <v>0.57999999999999996</v>
      </c>
      <c r="L207" s="1">
        <v>2</v>
      </c>
      <c r="M207" s="9">
        <v>0.86</v>
      </c>
      <c r="N207" s="1">
        <f t="shared" si="8"/>
        <v>1</v>
      </c>
      <c r="O207" s="1">
        <f t="shared" si="9"/>
        <v>1</v>
      </c>
      <c r="P207" s="1" t="str">
        <f t="shared" si="11"/>
        <v>引</v>
      </c>
      <c r="Q207" s="1" t="s">
        <v>41</v>
      </c>
      <c r="R207" s="17" t="s">
        <v>46</v>
      </c>
      <c r="S207" s="8" t="s">
        <v>12</v>
      </c>
      <c r="T207" s="17" t="s">
        <v>23</v>
      </c>
      <c r="U207" s="8"/>
      <c r="W207" s="8"/>
      <c r="Y207" s="8"/>
      <c r="AA207" s="8"/>
      <c r="AC207" s="8"/>
      <c r="AE207" s="8"/>
    </row>
    <row r="208" spans="2:31" x14ac:dyDescent="0.4">
      <c r="B208" s="16">
        <v>44459</v>
      </c>
      <c r="C208" s="15">
        <v>0.53402777777777777</v>
      </c>
      <c r="D208" s="21">
        <f t="shared" si="10"/>
        <v>44459.53402777778</v>
      </c>
      <c r="E208" s="25">
        <v>206</v>
      </c>
      <c r="F208" s="1">
        <v>8</v>
      </c>
      <c r="G208" s="1">
        <f>VLOOKUP(F208,監督フォーメーション!$A$2:$C$15,3,FALSE)</f>
        <v>3142</v>
      </c>
      <c r="H208" s="1">
        <v>1369</v>
      </c>
      <c r="I208" s="1">
        <v>1404</v>
      </c>
      <c r="J208" s="1">
        <v>5212</v>
      </c>
      <c r="K208" s="9">
        <v>0.59</v>
      </c>
      <c r="L208" s="1">
        <v>3</v>
      </c>
      <c r="M208" s="9">
        <v>0.85</v>
      </c>
      <c r="N208" s="1">
        <f t="shared" ref="N208:N271" si="12">COUNTA(Q208,S208,U208,W208,Y208,AA208,AC208,AE208,AG208)-O208</f>
        <v>1</v>
      </c>
      <c r="O208" s="1">
        <f t="shared" si="9"/>
        <v>2</v>
      </c>
      <c r="P208" s="1" t="str">
        <f t="shared" si="11"/>
        <v>負</v>
      </c>
      <c r="Q208" s="1" t="s">
        <v>41</v>
      </c>
      <c r="R208" s="17" t="s">
        <v>116</v>
      </c>
      <c r="S208" s="8" t="s">
        <v>12</v>
      </c>
      <c r="T208" s="17" t="s">
        <v>23</v>
      </c>
      <c r="U208" s="8" t="s">
        <v>12</v>
      </c>
      <c r="V208" s="17" t="s">
        <v>23</v>
      </c>
      <c r="W208" s="8"/>
      <c r="Y208" s="8"/>
      <c r="AA208" s="8"/>
      <c r="AC208" s="8"/>
      <c r="AE208" s="8"/>
    </row>
    <row r="209" spans="2:31" x14ac:dyDescent="0.4">
      <c r="B209" s="16">
        <v>44459</v>
      </c>
      <c r="C209" s="15">
        <v>0.54097222222222219</v>
      </c>
      <c r="D209" s="21">
        <f t="shared" si="10"/>
        <v>44459.540972222225</v>
      </c>
      <c r="E209" s="25">
        <v>207</v>
      </c>
      <c r="F209" s="1">
        <v>8</v>
      </c>
      <c r="G209" s="1">
        <f>VLOOKUP(F209,監督フォーメーション!$A$2:$C$15,3,FALSE)</f>
        <v>3142</v>
      </c>
      <c r="H209" s="1">
        <v>1360</v>
      </c>
      <c r="J209" s="1">
        <v>343</v>
      </c>
      <c r="K209" s="9">
        <v>0.56999999999999995</v>
      </c>
      <c r="L209" s="1">
        <v>7</v>
      </c>
      <c r="M209" s="9">
        <v>0.85</v>
      </c>
      <c r="N209" s="1">
        <f t="shared" si="12"/>
        <v>1</v>
      </c>
      <c r="O209" s="1">
        <f t="shared" si="9"/>
        <v>2</v>
      </c>
      <c r="P209" s="1" t="str">
        <f t="shared" si="11"/>
        <v>負</v>
      </c>
      <c r="Q209" s="1" t="s">
        <v>42</v>
      </c>
      <c r="R209" s="17" t="s">
        <v>116</v>
      </c>
      <c r="S209" s="8" t="s">
        <v>12</v>
      </c>
      <c r="T209" s="17" t="s">
        <v>23</v>
      </c>
      <c r="U209" s="8" t="s">
        <v>12</v>
      </c>
      <c r="V209" s="17" t="s">
        <v>23</v>
      </c>
      <c r="W209" s="8"/>
      <c r="Y209" s="8"/>
      <c r="AA209" s="8"/>
      <c r="AC209" s="8"/>
      <c r="AE209" s="8"/>
    </row>
    <row r="210" spans="2:31" x14ac:dyDescent="0.4">
      <c r="B210" s="16">
        <v>44459</v>
      </c>
      <c r="C210" s="15">
        <v>0.55625000000000002</v>
      </c>
      <c r="D210" s="21">
        <f t="shared" si="10"/>
        <v>44459.556250000001</v>
      </c>
      <c r="E210" s="25">
        <v>208</v>
      </c>
      <c r="F210" s="1">
        <v>8</v>
      </c>
      <c r="G210" s="1">
        <f>VLOOKUP(F210,監督フォーメーション!$A$2:$C$15,3,FALSE)</f>
        <v>3142</v>
      </c>
      <c r="H210" s="1">
        <v>1348</v>
      </c>
      <c r="I210" s="1">
        <v>1474</v>
      </c>
      <c r="J210" s="1">
        <v>4312</v>
      </c>
      <c r="K210" s="9">
        <v>0.64</v>
      </c>
      <c r="L210" s="1">
        <v>7</v>
      </c>
      <c r="M210" s="9">
        <v>0.83</v>
      </c>
      <c r="N210" s="1">
        <f t="shared" si="12"/>
        <v>1</v>
      </c>
      <c r="O210" s="1">
        <f t="shared" si="9"/>
        <v>0</v>
      </c>
      <c r="P210" s="1" t="str">
        <f t="shared" si="11"/>
        <v>勝</v>
      </c>
      <c r="Q210" s="1" t="s">
        <v>116</v>
      </c>
      <c r="R210" s="17" t="s">
        <v>42</v>
      </c>
      <c r="S210" s="8"/>
      <c r="U210" s="8"/>
      <c r="W210" s="8"/>
      <c r="Y210" s="8"/>
      <c r="AA210" s="8"/>
      <c r="AC210" s="8"/>
      <c r="AE210" s="8"/>
    </row>
    <row r="211" spans="2:31" x14ac:dyDescent="0.4">
      <c r="B211" s="16">
        <v>44459</v>
      </c>
      <c r="C211" s="15">
        <v>0.55694444444444446</v>
      </c>
      <c r="D211" s="21">
        <f t="shared" si="10"/>
        <v>44459.556944444441</v>
      </c>
      <c r="E211" s="25">
        <v>209</v>
      </c>
      <c r="F211" s="1">
        <v>8</v>
      </c>
      <c r="G211" s="1">
        <f>VLOOKUP(F211,監督フォーメーション!$A$2:$C$15,3,FALSE)</f>
        <v>3142</v>
      </c>
      <c r="H211" s="1">
        <v>1363</v>
      </c>
      <c r="I211" s="1">
        <v>1088</v>
      </c>
      <c r="J211" s="1">
        <v>4213</v>
      </c>
      <c r="K211" s="9" t="s">
        <v>13</v>
      </c>
      <c r="L211" s="1" t="s">
        <v>13</v>
      </c>
      <c r="M211" s="9" t="s">
        <v>13</v>
      </c>
      <c r="N211" s="1">
        <f t="shared" si="12"/>
        <v>3</v>
      </c>
      <c r="O211" s="1">
        <f t="shared" si="9"/>
        <v>1</v>
      </c>
      <c r="P211" s="1" t="str">
        <f t="shared" si="11"/>
        <v>勝</v>
      </c>
      <c r="Q211" s="1" t="s">
        <v>116</v>
      </c>
      <c r="R211" s="17" t="s">
        <v>42</v>
      </c>
      <c r="S211" s="8" t="s">
        <v>42</v>
      </c>
      <c r="T211" s="17" t="s">
        <v>116</v>
      </c>
      <c r="U211" s="8" t="s">
        <v>12</v>
      </c>
      <c r="V211" s="17" t="s">
        <v>23</v>
      </c>
      <c r="W211" s="8" t="s">
        <v>116</v>
      </c>
      <c r="X211" s="17" t="s">
        <v>46</v>
      </c>
      <c r="Y211" s="8"/>
      <c r="AA211" s="8"/>
      <c r="AC211" s="8"/>
      <c r="AE211" s="8"/>
    </row>
    <row r="212" spans="2:31" x14ac:dyDescent="0.4">
      <c r="B212" s="16">
        <v>44459</v>
      </c>
      <c r="C212" s="15">
        <v>0.56041666666666667</v>
      </c>
      <c r="D212" s="21">
        <f t="shared" si="10"/>
        <v>44459.560416666667</v>
      </c>
      <c r="E212" s="25">
        <v>210</v>
      </c>
      <c r="F212" s="1">
        <v>8</v>
      </c>
      <c r="G212" s="1">
        <f>VLOOKUP(F212,監督フォーメーション!$A$2:$C$15,3,FALSE)</f>
        <v>3142</v>
      </c>
      <c r="H212" s="1">
        <v>1367</v>
      </c>
      <c r="I212" s="1">
        <v>1071</v>
      </c>
      <c r="J212" s="1">
        <v>523</v>
      </c>
      <c r="K212" s="9">
        <v>0.62</v>
      </c>
      <c r="L212" s="1">
        <v>5</v>
      </c>
      <c r="M212" s="9">
        <v>0.83</v>
      </c>
      <c r="N212" s="1">
        <f t="shared" si="12"/>
        <v>3</v>
      </c>
      <c r="O212" s="1">
        <f t="shared" si="9"/>
        <v>1</v>
      </c>
      <c r="P212" s="1" t="str">
        <f t="shared" si="11"/>
        <v>勝</v>
      </c>
      <c r="Q212" s="1" t="s">
        <v>12</v>
      </c>
      <c r="R212" s="17" t="s">
        <v>23</v>
      </c>
      <c r="S212" s="8" t="s">
        <v>44</v>
      </c>
      <c r="T212" s="17" t="s">
        <v>23</v>
      </c>
      <c r="U212" s="8" t="s">
        <v>41</v>
      </c>
      <c r="V212" s="17" t="s">
        <v>50</v>
      </c>
      <c r="W212" s="8" t="s">
        <v>54</v>
      </c>
      <c r="X212" s="17" t="s">
        <v>46</v>
      </c>
      <c r="Y212" s="8"/>
      <c r="AA212" s="8"/>
      <c r="AC212" s="8"/>
      <c r="AE212" s="8"/>
    </row>
    <row r="213" spans="2:31" x14ac:dyDescent="0.4">
      <c r="B213" s="16">
        <v>44459</v>
      </c>
      <c r="C213" s="15">
        <v>0.56805555555555554</v>
      </c>
      <c r="D213" s="21">
        <f t="shared" si="10"/>
        <v>44459.568055555559</v>
      </c>
      <c r="E213" s="25">
        <v>211</v>
      </c>
      <c r="F213" s="1">
        <v>8</v>
      </c>
      <c r="G213" s="1">
        <f>VLOOKUP(F213,監督フォーメーション!$A$2:$C$15,3,FALSE)</f>
        <v>3142</v>
      </c>
      <c r="H213" s="1">
        <v>1371</v>
      </c>
      <c r="J213" s="1">
        <v>3313</v>
      </c>
      <c r="K213" s="9">
        <v>0.48</v>
      </c>
      <c r="L213" s="1">
        <v>5</v>
      </c>
      <c r="M213" s="9">
        <v>0.81</v>
      </c>
      <c r="N213" s="1">
        <f t="shared" si="12"/>
        <v>1</v>
      </c>
      <c r="O213" s="1">
        <f t="shared" si="9"/>
        <v>4</v>
      </c>
      <c r="P213" s="1" t="str">
        <f t="shared" si="11"/>
        <v>負</v>
      </c>
      <c r="Q213" s="1" t="s">
        <v>12</v>
      </c>
      <c r="R213" s="17" t="s">
        <v>23</v>
      </c>
      <c r="S213" s="8" t="s">
        <v>12</v>
      </c>
      <c r="T213" s="17" t="s">
        <v>23</v>
      </c>
      <c r="U213" s="8" t="s">
        <v>12</v>
      </c>
      <c r="V213" s="17" t="s">
        <v>23</v>
      </c>
      <c r="W213" s="8" t="s">
        <v>44</v>
      </c>
      <c r="X213" s="17" t="s">
        <v>63</v>
      </c>
      <c r="Y213" s="8" t="s">
        <v>12</v>
      </c>
      <c r="Z213" s="17" t="s">
        <v>23</v>
      </c>
      <c r="AA213" s="8"/>
      <c r="AC213" s="8"/>
      <c r="AE213" s="8"/>
    </row>
    <row r="214" spans="2:31" x14ac:dyDescent="0.4">
      <c r="B214" s="16">
        <v>44459</v>
      </c>
      <c r="C214" s="15">
        <v>0.5756944444444444</v>
      </c>
      <c r="D214" s="21">
        <f t="shared" si="10"/>
        <v>44459.575694444444</v>
      </c>
      <c r="E214" s="25">
        <v>212</v>
      </c>
      <c r="F214" s="1">
        <v>8</v>
      </c>
      <c r="G214" s="1">
        <f>VLOOKUP(F214,監督フォーメーション!$A$2:$C$15,3,FALSE)</f>
        <v>3142</v>
      </c>
      <c r="H214" s="1">
        <v>1362</v>
      </c>
      <c r="I214" s="1">
        <v>1190</v>
      </c>
      <c r="J214" s="1">
        <v>4213</v>
      </c>
      <c r="K214" s="9">
        <v>0.52</v>
      </c>
      <c r="L214" s="1">
        <v>3</v>
      </c>
      <c r="M214" s="9">
        <v>0.79</v>
      </c>
      <c r="N214" s="1">
        <f t="shared" si="12"/>
        <v>1</v>
      </c>
      <c r="O214" s="1">
        <f t="shared" si="9"/>
        <v>1</v>
      </c>
      <c r="P214" s="1" t="str">
        <f t="shared" si="11"/>
        <v>引</v>
      </c>
      <c r="Q214" s="1" t="s">
        <v>42</v>
      </c>
      <c r="R214" s="17" t="s">
        <v>63</v>
      </c>
      <c r="S214" s="8" t="s">
        <v>12</v>
      </c>
      <c r="T214" s="17" t="s">
        <v>23</v>
      </c>
      <c r="U214" s="8"/>
      <c r="W214" s="8"/>
      <c r="Y214" s="8"/>
      <c r="AA214" s="8"/>
      <c r="AC214" s="8"/>
      <c r="AE214" s="8"/>
    </row>
    <row r="215" spans="2:31" x14ac:dyDescent="0.4">
      <c r="B215" s="16">
        <v>44459</v>
      </c>
      <c r="C215" s="15">
        <v>0.59166666666666667</v>
      </c>
      <c r="D215" s="21">
        <f t="shared" si="10"/>
        <v>44459.591666666667</v>
      </c>
      <c r="E215" s="25">
        <v>213</v>
      </c>
      <c r="F215" s="1">
        <v>8</v>
      </c>
      <c r="G215" s="1">
        <f>VLOOKUP(F215,監督フォーメーション!$A$2:$C$15,3,FALSE)</f>
        <v>3142</v>
      </c>
      <c r="H215" s="1">
        <v>1358</v>
      </c>
      <c r="I215" s="1">
        <v>1380</v>
      </c>
      <c r="J215" s="1">
        <v>4312</v>
      </c>
      <c r="K215" s="9">
        <v>0.62</v>
      </c>
      <c r="L215" s="1">
        <v>7</v>
      </c>
      <c r="M215" s="9">
        <v>0.85</v>
      </c>
      <c r="N215" s="1">
        <f t="shared" si="12"/>
        <v>3</v>
      </c>
      <c r="O215" s="1">
        <f t="shared" si="9"/>
        <v>1</v>
      </c>
      <c r="P215" s="1" t="str">
        <f t="shared" si="11"/>
        <v>勝</v>
      </c>
      <c r="Q215" s="1" t="s">
        <v>42</v>
      </c>
      <c r="R215" s="17" t="s">
        <v>44</v>
      </c>
      <c r="S215" s="8" t="s">
        <v>42</v>
      </c>
      <c r="T215" s="17" t="s">
        <v>116</v>
      </c>
      <c r="U215" s="8" t="s">
        <v>116</v>
      </c>
      <c r="V215" s="17" t="s">
        <v>46</v>
      </c>
      <c r="W215" s="8" t="s">
        <v>12</v>
      </c>
      <c r="X215" s="17" t="s">
        <v>23</v>
      </c>
      <c r="Y215" s="8"/>
      <c r="AA215" s="8"/>
      <c r="AC215" s="8"/>
      <c r="AE215" s="8"/>
    </row>
    <row r="216" spans="2:31" x14ac:dyDescent="0.4">
      <c r="B216" s="16">
        <v>44464</v>
      </c>
      <c r="C216" s="15">
        <v>0.64097222222222217</v>
      </c>
      <c r="D216" s="21">
        <f t="shared" si="10"/>
        <v>44464.640972222223</v>
      </c>
      <c r="E216" s="25">
        <v>214</v>
      </c>
      <c r="F216" s="1">
        <v>8</v>
      </c>
      <c r="G216" s="1">
        <f>VLOOKUP(F216,監督フォーメーション!$A$2:$C$15,3,FALSE)</f>
        <v>3142</v>
      </c>
      <c r="H216" s="1">
        <v>1370</v>
      </c>
      <c r="J216" s="1">
        <v>3223</v>
      </c>
      <c r="K216" s="9">
        <v>0.6</v>
      </c>
      <c r="L216" s="1">
        <v>7</v>
      </c>
      <c r="M216" s="9">
        <v>0.87</v>
      </c>
      <c r="N216" s="1">
        <f t="shared" si="12"/>
        <v>2</v>
      </c>
      <c r="O216" s="1">
        <f t="shared" si="9"/>
        <v>1</v>
      </c>
      <c r="P216" s="1" t="str">
        <f t="shared" si="11"/>
        <v>勝</v>
      </c>
      <c r="Q216" s="1" t="s">
        <v>42</v>
      </c>
      <c r="R216" s="17" t="s">
        <v>46</v>
      </c>
      <c r="S216" s="8" t="s">
        <v>12</v>
      </c>
      <c r="T216" s="17" t="s">
        <v>23</v>
      </c>
      <c r="U216" s="8" t="s">
        <v>41</v>
      </c>
      <c r="V216" s="17" t="s">
        <v>63</v>
      </c>
      <c r="W216" s="8"/>
      <c r="Y216" s="8"/>
      <c r="AA216" s="8"/>
      <c r="AC216" s="8"/>
      <c r="AE216" s="8"/>
    </row>
    <row r="217" spans="2:31" x14ac:dyDescent="0.4">
      <c r="B217" s="16">
        <v>44464</v>
      </c>
      <c r="C217" s="15">
        <v>0.64722222222222225</v>
      </c>
      <c r="D217" s="21">
        <f t="shared" si="10"/>
        <v>44464.647222222222</v>
      </c>
      <c r="E217" s="25">
        <v>215</v>
      </c>
      <c r="F217" s="1">
        <v>8</v>
      </c>
      <c r="G217" s="1">
        <f>VLOOKUP(F217,監督フォーメーション!$A$2:$C$15,3,FALSE)</f>
        <v>3142</v>
      </c>
      <c r="H217" s="1">
        <v>1380</v>
      </c>
      <c r="J217" s="1">
        <v>3313</v>
      </c>
      <c r="K217" s="9">
        <v>0.67</v>
      </c>
      <c r="L217" s="1">
        <v>11</v>
      </c>
      <c r="M217" s="9">
        <v>0.78</v>
      </c>
      <c r="N217" s="1">
        <f t="shared" si="12"/>
        <v>1</v>
      </c>
      <c r="O217" s="1">
        <f t="shared" si="9"/>
        <v>0</v>
      </c>
      <c r="P217" s="1" t="str">
        <f t="shared" si="11"/>
        <v>勝</v>
      </c>
      <c r="Q217" s="1" t="s">
        <v>42</v>
      </c>
      <c r="R217" s="17" t="s">
        <v>46</v>
      </c>
      <c r="S217" s="8"/>
      <c r="U217" s="8"/>
      <c r="W217" s="8"/>
      <c r="Y217" s="8"/>
      <c r="AA217" s="8"/>
      <c r="AC217" s="8"/>
      <c r="AE217" s="8"/>
    </row>
    <row r="218" spans="2:31" x14ac:dyDescent="0.4">
      <c r="B218" s="16">
        <v>44464</v>
      </c>
      <c r="C218" s="15">
        <v>0.65486111111111112</v>
      </c>
      <c r="D218" s="21">
        <f t="shared" si="10"/>
        <v>44464.654861111114</v>
      </c>
      <c r="E218" s="25">
        <v>216</v>
      </c>
      <c r="F218" s="1">
        <v>8</v>
      </c>
      <c r="G218" s="1">
        <f>VLOOKUP(F218,監督フォーメーション!$A$2:$C$15,3,FALSE)</f>
        <v>3142</v>
      </c>
      <c r="H218" s="1">
        <v>1390</v>
      </c>
      <c r="I218" s="1">
        <v>1210</v>
      </c>
      <c r="J218" s="1">
        <v>361</v>
      </c>
      <c r="K218" s="9" t="s">
        <v>13</v>
      </c>
      <c r="L218" s="1" t="s">
        <v>13</v>
      </c>
      <c r="M218" s="9" t="s">
        <v>13</v>
      </c>
      <c r="N218" s="1">
        <f t="shared" si="12"/>
        <v>2</v>
      </c>
      <c r="O218" s="1">
        <f t="shared" si="9"/>
        <v>0</v>
      </c>
      <c r="P218" s="1" t="str">
        <f t="shared" si="11"/>
        <v>勝</v>
      </c>
      <c r="Q218" s="1" t="s">
        <v>42</v>
      </c>
      <c r="R218" s="17" t="s">
        <v>43</v>
      </c>
      <c r="S218" s="8" t="s">
        <v>42</v>
      </c>
      <c r="T218" s="17" t="s">
        <v>46</v>
      </c>
      <c r="U218" s="8"/>
      <c r="W218" s="8"/>
      <c r="Y218" s="8"/>
      <c r="AA218" s="8"/>
      <c r="AC218" s="8"/>
      <c r="AE218" s="8"/>
    </row>
    <row r="219" spans="2:31" x14ac:dyDescent="0.4">
      <c r="B219" s="16">
        <v>44464</v>
      </c>
      <c r="C219" s="15">
        <v>0.65763888888888888</v>
      </c>
      <c r="D219" s="21">
        <f t="shared" si="10"/>
        <v>44464.657638888886</v>
      </c>
      <c r="E219" s="25">
        <v>217</v>
      </c>
      <c r="F219" s="1">
        <v>8</v>
      </c>
      <c r="G219" s="1">
        <f>VLOOKUP(F219,監督フォーメーション!$A$2:$C$15,3,FALSE)</f>
        <v>3142</v>
      </c>
      <c r="H219" s="1">
        <v>1397</v>
      </c>
      <c r="I219" s="1">
        <v>1420</v>
      </c>
      <c r="J219" s="1">
        <v>424</v>
      </c>
      <c r="K219" s="9">
        <v>0.54</v>
      </c>
      <c r="L219" s="1">
        <v>5</v>
      </c>
      <c r="M219" s="9">
        <v>0.84</v>
      </c>
      <c r="N219" s="1">
        <f t="shared" si="12"/>
        <v>0</v>
      </c>
      <c r="O219" s="1">
        <f t="shared" si="9"/>
        <v>4</v>
      </c>
      <c r="P219" s="1" t="str">
        <f t="shared" si="11"/>
        <v>負</v>
      </c>
      <c r="Q219" s="1" t="s">
        <v>12</v>
      </c>
      <c r="R219" s="17" t="s">
        <v>23</v>
      </c>
      <c r="S219" s="8" t="s">
        <v>12</v>
      </c>
      <c r="T219" s="17" t="s">
        <v>23</v>
      </c>
      <c r="U219" s="8" t="s">
        <v>12</v>
      </c>
      <c r="V219" s="17" t="s">
        <v>23</v>
      </c>
      <c r="W219" s="8" t="s">
        <v>12</v>
      </c>
      <c r="X219" s="17" t="s">
        <v>23</v>
      </c>
      <c r="Y219" s="8"/>
      <c r="AA219" s="8"/>
      <c r="AC219" s="8"/>
      <c r="AE219" s="8"/>
    </row>
    <row r="220" spans="2:31" x14ac:dyDescent="0.4">
      <c r="B220" s="16">
        <v>44464</v>
      </c>
      <c r="C220" s="15">
        <v>0.66666666666666663</v>
      </c>
      <c r="D220" s="21">
        <f t="shared" si="10"/>
        <v>44464.666666666664</v>
      </c>
      <c r="E220" s="25">
        <v>218</v>
      </c>
      <c r="F220" s="1">
        <v>8</v>
      </c>
      <c r="G220" s="1">
        <f>VLOOKUP(F220,監督フォーメーション!$A$2:$C$15,3,FALSE)</f>
        <v>3142</v>
      </c>
      <c r="H220" s="1">
        <v>1389</v>
      </c>
      <c r="I220" s="1">
        <v>1385</v>
      </c>
      <c r="J220" s="1">
        <v>5212</v>
      </c>
      <c r="K220" s="9">
        <v>0.56999999999999995</v>
      </c>
      <c r="L220" s="1">
        <v>4</v>
      </c>
      <c r="M220" s="9">
        <v>0.9</v>
      </c>
      <c r="N220" s="1">
        <f t="shared" si="12"/>
        <v>3</v>
      </c>
      <c r="O220" s="1">
        <f t="shared" si="9"/>
        <v>1</v>
      </c>
      <c r="P220" s="1" t="str">
        <f t="shared" si="11"/>
        <v>勝</v>
      </c>
      <c r="Q220" s="1" t="s">
        <v>43</v>
      </c>
      <c r="R220" s="17" t="s">
        <v>46</v>
      </c>
      <c r="S220" s="8" t="s">
        <v>42</v>
      </c>
      <c r="T220" s="17" t="s">
        <v>43</v>
      </c>
      <c r="U220" s="8" t="s">
        <v>12</v>
      </c>
      <c r="V220" s="17" t="s">
        <v>23</v>
      </c>
      <c r="W220" s="8" t="s">
        <v>111</v>
      </c>
      <c r="X220" s="17" t="s">
        <v>43</v>
      </c>
      <c r="Y220" s="8"/>
      <c r="AA220" s="8"/>
      <c r="AC220" s="8"/>
      <c r="AE220" s="8"/>
    </row>
    <row r="221" spans="2:31" x14ac:dyDescent="0.4">
      <c r="B221" s="16">
        <v>44464</v>
      </c>
      <c r="C221" s="15">
        <v>0.67361111111111116</v>
      </c>
      <c r="D221" s="21">
        <f t="shared" si="10"/>
        <v>44464.673611111109</v>
      </c>
      <c r="E221" s="25">
        <v>219</v>
      </c>
      <c r="F221" s="1">
        <v>8</v>
      </c>
      <c r="G221" s="1">
        <f>VLOOKUP(F221,監督フォーメーション!$A$2:$C$15,3,FALSE)</f>
        <v>3142</v>
      </c>
      <c r="H221" s="1">
        <v>1400</v>
      </c>
      <c r="I221" s="1">
        <v>1500</v>
      </c>
      <c r="J221" s="1">
        <v>4312</v>
      </c>
      <c r="K221" s="9">
        <v>0.56000000000000005</v>
      </c>
      <c r="L221" s="1">
        <v>3</v>
      </c>
      <c r="M221" s="9">
        <v>0.82</v>
      </c>
      <c r="N221" s="1">
        <f t="shared" si="12"/>
        <v>2</v>
      </c>
      <c r="O221" s="1">
        <f t="shared" si="9"/>
        <v>3</v>
      </c>
      <c r="P221" s="1" t="str">
        <f t="shared" si="11"/>
        <v>負</v>
      </c>
      <c r="Q221" s="1" t="s">
        <v>12</v>
      </c>
      <c r="R221" s="17" t="s">
        <v>23</v>
      </c>
      <c r="S221" s="8" t="s">
        <v>12</v>
      </c>
      <c r="T221" s="17" t="s">
        <v>23</v>
      </c>
      <c r="U221" s="8" t="s">
        <v>42</v>
      </c>
      <c r="V221" s="17" t="s">
        <v>43</v>
      </c>
      <c r="W221" s="8" t="s">
        <v>44</v>
      </c>
      <c r="X221" s="17" t="s">
        <v>41</v>
      </c>
      <c r="Y221" s="8" t="s">
        <v>12</v>
      </c>
      <c r="Z221" s="17" t="s">
        <v>23</v>
      </c>
      <c r="AA221" s="8"/>
      <c r="AC221" s="8"/>
      <c r="AE221" s="8"/>
    </row>
    <row r="222" spans="2:31" x14ac:dyDescent="0.4">
      <c r="B222" s="16">
        <v>44465</v>
      </c>
      <c r="C222" s="15">
        <v>0.67013888888888884</v>
      </c>
      <c r="D222" s="21">
        <f t="shared" si="10"/>
        <v>44465.670138888891</v>
      </c>
      <c r="E222" s="25">
        <v>220</v>
      </c>
      <c r="F222" s="1">
        <v>8</v>
      </c>
      <c r="G222" s="1">
        <f>VLOOKUP(F222,監督フォーメーション!$A$2:$C$15,3,FALSE)</f>
        <v>3142</v>
      </c>
      <c r="H222" s="1">
        <v>1396</v>
      </c>
      <c r="I222" s="1">
        <v>1097</v>
      </c>
      <c r="J222" s="1">
        <v>4213</v>
      </c>
      <c r="K222" s="9" t="s">
        <v>13</v>
      </c>
      <c r="L222" s="1" t="s">
        <v>13</v>
      </c>
      <c r="M222" s="9" t="s">
        <v>13</v>
      </c>
      <c r="N222" s="1">
        <f t="shared" si="12"/>
        <v>1</v>
      </c>
      <c r="O222" s="1">
        <f t="shared" ref="O222:O285" si="13">COUNTIF(Q222:AG222, "=失点")</f>
        <v>0</v>
      </c>
      <c r="P222" s="1" t="str">
        <f t="shared" si="11"/>
        <v>勝</v>
      </c>
      <c r="Q222" s="1" t="s">
        <v>118</v>
      </c>
      <c r="R222" s="17" t="s">
        <v>43</v>
      </c>
      <c r="S222" s="8"/>
      <c r="U222" s="8"/>
      <c r="W222" s="8"/>
      <c r="Y222" s="8"/>
      <c r="AA222" s="8"/>
      <c r="AC222" s="8"/>
      <c r="AE222" s="8"/>
    </row>
    <row r="223" spans="2:31" x14ac:dyDescent="0.4">
      <c r="B223" s="16">
        <v>44465</v>
      </c>
      <c r="C223" s="15">
        <v>0.67291666666666661</v>
      </c>
      <c r="D223" s="21">
        <f t="shared" si="10"/>
        <v>44465.67291666667</v>
      </c>
      <c r="E223" s="25">
        <v>221</v>
      </c>
      <c r="F223" s="1">
        <v>8</v>
      </c>
      <c r="G223" s="1">
        <f>VLOOKUP(F223,監督フォーメーション!$A$2:$C$15,3,FALSE)</f>
        <v>3142</v>
      </c>
      <c r="H223" s="1">
        <v>1400</v>
      </c>
      <c r="I223" s="1">
        <v>1477</v>
      </c>
      <c r="J223" s="1">
        <v>4114</v>
      </c>
      <c r="K223" s="9">
        <v>0.56999999999999995</v>
      </c>
      <c r="L223" s="1">
        <v>5</v>
      </c>
      <c r="M223" s="9">
        <v>0.87</v>
      </c>
      <c r="N223" s="1">
        <f t="shared" si="12"/>
        <v>2</v>
      </c>
      <c r="O223" s="1">
        <f t="shared" si="13"/>
        <v>3</v>
      </c>
      <c r="P223" s="1" t="str">
        <f t="shared" si="11"/>
        <v>負</v>
      </c>
      <c r="Q223" s="1" t="s">
        <v>12</v>
      </c>
      <c r="R223" s="17" t="s">
        <v>23</v>
      </c>
      <c r="S223" s="8" t="s">
        <v>12</v>
      </c>
      <c r="T223" s="17" t="s">
        <v>23</v>
      </c>
      <c r="U223" s="8" t="s">
        <v>41</v>
      </c>
      <c r="V223" s="17" t="s">
        <v>46</v>
      </c>
      <c r="W223" s="8" t="s">
        <v>12</v>
      </c>
      <c r="X223" s="17" t="s">
        <v>23</v>
      </c>
      <c r="Y223" s="8" t="s">
        <v>43</v>
      </c>
      <c r="Z223" s="17" t="s">
        <v>23</v>
      </c>
      <c r="AA223" s="8"/>
      <c r="AC223" s="8"/>
      <c r="AE223" s="8"/>
    </row>
    <row r="224" spans="2:31" x14ac:dyDescent="0.4">
      <c r="B224" s="16">
        <v>44465</v>
      </c>
      <c r="C224" s="15">
        <v>0.67986111111111114</v>
      </c>
      <c r="D224" s="21">
        <f t="shared" si="10"/>
        <v>44465.679861111108</v>
      </c>
      <c r="E224" s="25">
        <v>222</v>
      </c>
      <c r="F224" s="1">
        <v>8</v>
      </c>
      <c r="G224" s="1">
        <f>VLOOKUP(F224,監督フォーメーション!$A$2:$C$15,3,FALSE)</f>
        <v>3142</v>
      </c>
      <c r="H224" s="1">
        <v>1392</v>
      </c>
      <c r="I224" s="1">
        <v>1234</v>
      </c>
      <c r="J224" s="1">
        <v>4312</v>
      </c>
      <c r="K224" s="9" t="s">
        <v>13</v>
      </c>
      <c r="L224" s="1" t="s">
        <v>13</v>
      </c>
      <c r="M224" s="9" t="s">
        <v>13</v>
      </c>
      <c r="N224" s="1">
        <f t="shared" si="12"/>
        <v>4</v>
      </c>
      <c r="O224" s="1">
        <f t="shared" si="13"/>
        <v>3</v>
      </c>
      <c r="P224" s="1" t="str">
        <f t="shared" si="11"/>
        <v>勝</v>
      </c>
      <c r="Q224" s="1" t="s">
        <v>12</v>
      </c>
      <c r="R224" s="17" t="s">
        <v>23</v>
      </c>
      <c r="S224" s="8" t="s">
        <v>116</v>
      </c>
      <c r="T224" s="17" t="s">
        <v>46</v>
      </c>
      <c r="U224" s="8" t="s">
        <v>44</v>
      </c>
      <c r="V224" s="17" t="s">
        <v>46</v>
      </c>
      <c r="W224" s="8" t="s">
        <v>116</v>
      </c>
      <c r="X224" s="17" t="s">
        <v>111</v>
      </c>
      <c r="Y224" s="8" t="s">
        <v>12</v>
      </c>
      <c r="Z224" s="17" t="s">
        <v>23</v>
      </c>
      <c r="AA224" s="8" t="s">
        <v>12</v>
      </c>
      <c r="AB224" s="17" t="s">
        <v>23</v>
      </c>
      <c r="AC224" s="8" t="s">
        <v>116</v>
      </c>
      <c r="AD224" s="17" t="s">
        <v>111</v>
      </c>
      <c r="AE224" s="8"/>
    </row>
    <row r="225" spans="2:31" x14ac:dyDescent="0.4">
      <c r="B225" s="16">
        <v>44465</v>
      </c>
      <c r="C225" s="15">
        <v>0.68680555555555556</v>
      </c>
      <c r="D225" s="21">
        <f t="shared" si="10"/>
        <v>44465.686805555553</v>
      </c>
      <c r="E225" s="25">
        <v>223</v>
      </c>
      <c r="F225" s="1">
        <v>8</v>
      </c>
      <c r="G225" s="1">
        <f>VLOOKUP(F225,監督フォーメーション!$A$2:$C$15,3,FALSE)</f>
        <v>3142</v>
      </c>
      <c r="H225" s="1">
        <v>1399</v>
      </c>
      <c r="I225" s="1">
        <v>1483</v>
      </c>
      <c r="J225" s="1">
        <v>3232</v>
      </c>
      <c r="K225" s="9">
        <v>0.55000000000000004</v>
      </c>
      <c r="L225" s="1">
        <v>6</v>
      </c>
      <c r="M225" s="9">
        <v>0.84</v>
      </c>
      <c r="N225" s="1">
        <f t="shared" si="12"/>
        <v>3</v>
      </c>
      <c r="O225" s="1">
        <f t="shared" si="13"/>
        <v>2</v>
      </c>
      <c r="P225" s="1" t="str">
        <f t="shared" si="11"/>
        <v>勝</v>
      </c>
      <c r="Q225" s="1" t="s">
        <v>42</v>
      </c>
      <c r="R225" s="17" t="s">
        <v>41</v>
      </c>
      <c r="S225" s="8" t="s">
        <v>12</v>
      </c>
      <c r="T225" s="17" t="s">
        <v>23</v>
      </c>
      <c r="U225" s="8" t="s">
        <v>12</v>
      </c>
      <c r="V225" s="17" t="s">
        <v>23</v>
      </c>
      <c r="W225" s="8" t="s">
        <v>116</v>
      </c>
      <c r="X225" s="17" t="s">
        <v>46</v>
      </c>
      <c r="Y225" s="8" t="s">
        <v>50</v>
      </c>
      <c r="Z225" s="17" t="s">
        <v>116</v>
      </c>
      <c r="AA225" s="8"/>
      <c r="AC225" s="8"/>
      <c r="AE225" s="8"/>
    </row>
    <row r="226" spans="2:31" x14ac:dyDescent="0.4">
      <c r="B226" s="16">
        <v>44465</v>
      </c>
      <c r="C226" s="15">
        <v>0.6972222222222223</v>
      </c>
      <c r="D226" s="21">
        <f t="shared" si="10"/>
        <v>44465.697222222225</v>
      </c>
      <c r="E226" s="25">
        <v>224</v>
      </c>
      <c r="F226" s="1">
        <v>11</v>
      </c>
      <c r="G226" s="1">
        <f>VLOOKUP(F226,監督フォーメーション!$A$2:$C$15,3,FALSE)</f>
        <v>4213</v>
      </c>
      <c r="H226" s="1">
        <v>1413</v>
      </c>
      <c r="J226" s="1">
        <v>4312</v>
      </c>
      <c r="K226" s="9">
        <v>0.57999999999999996</v>
      </c>
      <c r="L226" s="1">
        <v>3</v>
      </c>
      <c r="M226" s="9">
        <v>0.79</v>
      </c>
      <c r="N226" s="1">
        <f t="shared" si="12"/>
        <v>1</v>
      </c>
      <c r="O226" s="1">
        <f t="shared" si="13"/>
        <v>1</v>
      </c>
      <c r="P226" s="1" t="str">
        <f t="shared" si="11"/>
        <v>引</v>
      </c>
      <c r="Q226" s="1" t="s">
        <v>12</v>
      </c>
      <c r="R226" s="17" t="s">
        <v>23</v>
      </c>
      <c r="S226" s="8" t="s">
        <v>42</v>
      </c>
      <c r="T226" s="17" t="s">
        <v>23</v>
      </c>
      <c r="U226" s="8"/>
      <c r="W226" s="8"/>
      <c r="Y226" s="8"/>
      <c r="AA226" s="8"/>
      <c r="AC226" s="8"/>
      <c r="AE226" s="8"/>
    </row>
    <row r="227" spans="2:31" x14ac:dyDescent="0.4">
      <c r="B227" s="16">
        <v>44479</v>
      </c>
      <c r="C227" s="15">
        <v>0.87291666666666667</v>
      </c>
      <c r="D227" s="21">
        <f t="shared" si="10"/>
        <v>44479.872916666667</v>
      </c>
      <c r="E227" s="25">
        <v>225</v>
      </c>
      <c r="F227" s="1">
        <v>11</v>
      </c>
      <c r="G227" s="1">
        <f>VLOOKUP(F227,監督フォーメーション!$A$2:$C$15,3,FALSE)</f>
        <v>4213</v>
      </c>
      <c r="H227" s="1">
        <v>1438</v>
      </c>
      <c r="I227" s="1">
        <v>1522</v>
      </c>
      <c r="J227" s="1">
        <v>3223</v>
      </c>
      <c r="K227" s="9">
        <v>0.51</v>
      </c>
      <c r="L227" s="1">
        <v>5</v>
      </c>
      <c r="M227" s="9">
        <v>0.84</v>
      </c>
      <c r="N227" s="1">
        <f t="shared" si="12"/>
        <v>3</v>
      </c>
      <c r="O227" s="1">
        <f t="shared" si="13"/>
        <v>0</v>
      </c>
      <c r="P227" s="1" t="str">
        <f t="shared" si="11"/>
        <v>勝</v>
      </c>
      <c r="Q227" s="1" t="s">
        <v>42</v>
      </c>
      <c r="R227" s="17" t="s">
        <v>23</v>
      </c>
      <c r="S227" s="8" t="s">
        <v>44</v>
      </c>
      <c r="T227" s="17" t="s">
        <v>43</v>
      </c>
      <c r="U227" s="8" t="s">
        <v>42</v>
      </c>
      <c r="V227" s="17" t="s">
        <v>23</v>
      </c>
      <c r="W227" s="8"/>
      <c r="Y227" s="8"/>
      <c r="AA227" s="8"/>
      <c r="AC227" s="8"/>
      <c r="AE227" s="8"/>
    </row>
    <row r="228" spans="2:31" x14ac:dyDescent="0.4">
      <c r="B228" s="16">
        <v>44479</v>
      </c>
      <c r="C228" s="15">
        <v>0.88124999999999998</v>
      </c>
      <c r="D228" s="21">
        <f t="shared" si="10"/>
        <v>44479.881249999999</v>
      </c>
      <c r="E228" s="25">
        <v>226</v>
      </c>
      <c r="F228" s="1">
        <v>11</v>
      </c>
      <c r="G228" s="1">
        <f>VLOOKUP(F228,監督フォーメーション!$A$2:$C$15,3,FALSE)</f>
        <v>4213</v>
      </c>
      <c r="H228" s="1">
        <v>1452</v>
      </c>
      <c r="I228" s="1">
        <v>1408</v>
      </c>
      <c r="J228" s="1">
        <v>433</v>
      </c>
      <c r="K228" s="9"/>
      <c r="M228" s="9"/>
      <c r="N228" s="1">
        <f t="shared" si="12"/>
        <v>2</v>
      </c>
      <c r="O228" s="1">
        <f t="shared" si="13"/>
        <v>3</v>
      </c>
      <c r="P228" s="1" t="str">
        <f t="shared" si="11"/>
        <v>負</v>
      </c>
      <c r="Q228" s="1" t="s">
        <v>41</v>
      </c>
      <c r="R228" s="17" t="s">
        <v>63</v>
      </c>
      <c r="S228" s="8" t="s">
        <v>12</v>
      </c>
      <c r="T228" s="17" t="s">
        <v>23</v>
      </c>
      <c r="U228" s="8" t="s">
        <v>41</v>
      </c>
      <c r="V228" s="17" t="s">
        <v>44</v>
      </c>
      <c r="W228" s="8" t="s">
        <v>12</v>
      </c>
      <c r="X228" s="17" t="s">
        <v>23</v>
      </c>
      <c r="Y228" s="8" t="s">
        <v>12</v>
      </c>
      <c r="Z228" s="17" t="s">
        <v>23</v>
      </c>
      <c r="AA228" s="8"/>
      <c r="AC228" s="8"/>
      <c r="AE228" s="8"/>
    </row>
    <row r="229" spans="2:31" x14ac:dyDescent="0.4">
      <c r="B229" s="16">
        <v>44479</v>
      </c>
      <c r="C229" s="15">
        <v>0.88958333333333339</v>
      </c>
      <c r="D229" s="21">
        <f t="shared" si="10"/>
        <v>44479.88958333333</v>
      </c>
      <c r="E229" s="25">
        <v>227</v>
      </c>
      <c r="F229" s="1">
        <v>11</v>
      </c>
      <c r="G229" s="1">
        <f>VLOOKUP(F229,監督フォーメーション!$A$2:$C$15,3,FALSE)</f>
        <v>4213</v>
      </c>
      <c r="H229" s="1">
        <v>1441</v>
      </c>
      <c r="J229" s="1">
        <v>4213</v>
      </c>
      <c r="K229" s="9" t="s">
        <v>13</v>
      </c>
      <c r="L229" s="1" t="s">
        <v>13</v>
      </c>
      <c r="M229" s="9" t="s">
        <v>13</v>
      </c>
      <c r="N229" s="1">
        <f t="shared" si="12"/>
        <v>4</v>
      </c>
      <c r="O229" s="1">
        <f t="shared" si="13"/>
        <v>1</v>
      </c>
      <c r="P229" s="1" t="str">
        <f t="shared" si="11"/>
        <v>勝</v>
      </c>
      <c r="Q229" s="1" t="s">
        <v>40</v>
      </c>
      <c r="R229" s="17" t="s">
        <v>41</v>
      </c>
      <c r="S229" s="8" t="s">
        <v>12</v>
      </c>
      <c r="T229" s="17" t="s">
        <v>23</v>
      </c>
      <c r="U229" s="8" t="s">
        <v>44</v>
      </c>
      <c r="V229" s="17" t="s">
        <v>63</v>
      </c>
      <c r="W229" s="8" t="s">
        <v>43</v>
      </c>
      <c r="X229" s="17" t="s">
        <v>41</v>
      </c>
      <c r="Y229" s="8" t="s">
        <v>111</v>
      </c>
      <c r="Z229" s="17" t="s">
        <v>23</v>
      </c>
      <c r="AA229" s="8"/>
      <c r="AC229" s="8"/>
      <c r="AE229" s="8"/>
    </row>
    <row r="230" spans="2:31" x14ac:dyDescent="0.4">
      <c r="B230" s="16">
        <v>44479</v>
      </c>
      <c r="C230" s="15">
        <v>0.89722222222222225</v>
      </c>
      <c r="D230" s="21">
        <f t="shared" si="10"/>
        <v>44479.897222222222</v>
      </c>
      <c r="E230" s="25">
        <v>228</v>
      </c>
      <c r="F230" s="1">
        <v>11</v>
      </c>
      <c r="G230" s="1">
        <f>VLOOKUP(F230,監督フォーメーション!$A$2:$C$15,3,FALSE)</f>
        <v>4213</v>
      </c>
      <c r="H230" s="1">
        <v>1441</v>
      </c>
      <c r="I230" s="1">
        <v>1206</v>
      </c>
      <c r="J230" s="1">
        <v>3331</v>
      </c>
      <c r="K230" s="9">
        <v>0.54</v>
      </c>
      <c r="L230" s="1">
        <v>4</v>
      </c>
      <c r="M230" s="9">
        <v>0.83</v>
      </c>
      <c r="N230" s="1">
        <f t="shared" si="12"/>
        <v>2</v>
      </c>
      <c r="O230" s="1">
        <f t="shared" si="13"/>
        <v>1</v>
      </c>
      <c r="P230" s="1" t="str">
        <f t="shared" si="11"/>
        <v>勝</v>
      </c>
      <c r="Q230" s="1" t="s">
        <v>41</v>
      </c>
      <c r="R230" s="17" t="s">
        <v>43</v>
      </c>
      <c r="S230" s="8" t="s">
        <v>42</v>
      </c>
      <c r="T230" s="17" t="s">
        <v>23</v>
      </c>
      <c r="U230" s="8" t="s">
        <v>12</v>
      </c>
      <c r="V230" s="17" t="s">
        <v>23</v>
      </c>
      <c r="W230" s="8"/>
      <c r="Y230" s="8"/>
      <c r="AA230" s="8"/>
      <c r="AC230" s="8"/>
      <c r="AE230" s="8"/>
    </row>
    <row r="231" spans="2:31" x14ac:dyDescent="0.4">
      <c r="B231" s="16">
        <v>44479</v>
      </c>
      <c r="C231" s="15">
        <v>0.92361111111111116</v>
      </c>
      <c r="D231" s="21">
        <f t="shared" si="10"/>
        <v>44479.923611111109</v>
      </c>
      <c r="E231" s="25">
        <v>229</v>
      </c>
      <c r="F231" s="1">
        <v>11</v>
      </c>
      <c r="G231" s="1">
        <f>VLOOKUP(F231,監督フォーメーション!$A$2:$C$15,3,FALSE)</f>
        <v>4213</v>
      </c>
      <c r="H231" s="1">
        <v>1446</v>
      </c>
      <c r="I231" s="1">
        <v>1157</v>
      </c>
      <c r="J231" s="1">
        <v>4132</v>
      </c>
      <c r="K231" s="9">
        <v>0.57999999999999996</v>
      </c>
      <c r="L231" s="1">
        <v>7</v>
      </c>
      <c r="M231" s="9">
        <v>0.89</v>
      </c>
      <c r="N231" s="1">
        <f t="shared" si="12"/>
        <v>2</v>
      </c>
      <c r="O231" s="1">
        <f t="shared" si="13"/>
        <v>1</v>
      </c>
      <c r="P231" s="1" t="str">
        <f t="shared" si="11"/>
        <v>勝</v>
      </c>
      <c r="Q231" s="1" t="s">
        <v>12</v>
      </c>
      <c r="R231" s="17" t="s">
        <v>23</v>
      </c>
      <c r="S231" s="8" t="s">
        <v>42</v>
      </c>
      <c r="T231" s="17" t="s">
        <v>63</v>
      </c>
      <c r="U231" s="8" t="s">
        <v>41</v>
      </c>
      <c r="V231" s="17" t="s">
        <v>44</v>
      </c>
      <c r="W231" s="8"/>
      <c r="Y231" s="8"/>
      <c r="AA231" s="8"/>
      <c r="AC231" s="8"/>
      <c r="AE231" s="8"/>
    </row>
    <row r="232" spans="2:31" x14ac:dyDescent="0.4">
      <c r="B232" s="16">
        <v>44479</v>
      </c>
      <c r="C232" s="15">
        <v>0.93055555555555547</v>
      </c>
      <c r="D232" s="21">
        <f t="shared" si="10"/>
        <v>44479.930555555555</v>
      </c>
      <c r="E232" s="25">
        <v>230</v>
      </c>
      <c r="F232" s="1">
        <v>11</v>
      </c>
      <c r="G232" s="1">
        <f>VLOOKUP(F232,監督フォーメーション!$A$2:$C$15,3,FALSE)</f>
        <v>4213</v>
      </c>
      <c r="H232" s="1">
        <v>1450</v>
      </c>
      <c r="I232" s="1">
        <v>1471</v>
      </c>
      <c r="J232" s="1">
        <v>4312</v>
      </c>
      <c r="K232" s="9"/>
      <c r="M232" s="9"/>
      <c r="N232" s="1">
        <f t="shared" si="12"/>
        <v>2</v>
      </c>
      <c r="O232" s="1">
        <f t="shared" si="13"/>
        <v>3</v>
      </c>
      <c r="P232" s="1" t="str">
        <f t="shared" si="11"/>
        <v>負</v>
      </c>
      <c r="Q232" s="1" t="s">
        <v>42</v>
      </c>
      <c r="R232" s="17" t="s">
        <v>23</v>
      </c>
      <c r="S232" s="8" t="s">
        <v>12</v>
      </c>
      <c r="T232" s="17" t="s">
        <v>23</v>
      </c>
      <c r="U232" s="8" t="s">
        <v>12</v>
      </c>
      <c r="V232" s="17" t="s">
        <v>23</v>
      </c>
      <c r="W232" s="8" t="s">
        <v>42</v>
      </c>
      <c r="X232" s="17" t="s">
        <v>43</v>
      </c>
      <c r="Y232" s="8" t="s">
        <v>12</v>
      </c>
      <c r="Z232" s="17" t="s">
        <v>23</v>
      </c>
      <c r="AA232" s="8"/>
      <c r="AC232" s="8"/>
      <c r="AE232" s="8"/>
    </row>
    <row r="233" spans="2:31" x14ac:dyDescent="0.4">
      <c r="B233" s="16">
        <v>44479</v>
      </c>
      <c r="C233" s="15">
        <v>0.93819444444444444</v>
      </c>
      <c r="D233" s="21">
        <f t="shared" si="10"/>
        <v>44479.938194444447</v>
      </c>
      <c r="E233" s="25">
        <v>231</v>
      </c>
      <c r="F233" s="1">
        <v>11</v>
      </c>
      <c r="G233" s="1">
        <f>VLOOKUP(F233,監督フォーメーション!$A$2:$C$15,3,FALSE)</f>
        <v>4213</v>
      </c>
      <c r="H233" s="1">
        <v>1440</v>
      </c>
      <c r="I233" s="1">
        <v>1229</v>
      </c>
      <c r="J233" s="1">
        <v>523</v>
      </c>
      <c r="K233" s="9">
        <v>0.56999999999999995</v>
      </c>
      <c r="L233" s="1">
        <v>2</v>
      </c>
      <c r="M233" s="9">
        <v>0.75</v>
      </c>
      <c r="N233" s="1">
        <f t="shared" si="12"/>
        <v>1</v>
      </c>
      <c r="O233" s="1">
        <f t="shared" si="13"/>
        <v>3</v>
      </c>
      <c r="P233" s="1" t="str">
        <f t="shared" si="11"/>
        <v>負</v>
      </c>
      <c r="Q233" s="1" t="s">
        <v>40</v>
      </c>
      <c r="R233" s="17" t="s">
        <v>63</v>
      </c>
      <c r="S233" s="8" t="s">
        <v>12</v>
      </c>
      <c r="T233" s="17" t="s">
        <v>23</v>
      </c>
      <c r="U233" s="8" t="s">
        <v>12</v>
      </c>
      <c r="V233" s="17" t="s">
        <v>23</v>
      </c>
      <c r="W233" s="8" t="s">
        <v>12</v>
      </c>
      <c r="X233" s="17" t="s">
        <v>23</v>
      </c>
      <c r="Y233" s="8"/>
      <c r="AA233" s="8"/>
      <c r="AC233" s="8"/>
      <c r="AE233" s="8"/>
    </row>
    <row r="234" spans="2:31" x14ac:dyDescent="0.4">
      <c r="B234" s="16">
        <v>44479</v>
      </c>
      <c r="C234" s="15">
        <v>0.9458333333333333</v>
      </c>
      <c r="D234" s="21">
        <f t="shared" si="10"/>
        <v>44479.945833333331</v>
      </c>
      <c r="E234" s="25">
        <v>232</v>
      </c>
      <c r="F234" s="1">
        <v>11</v>
      </c>
      <c r="G234" s="1">
        <f>VLOOKUP(F234,監督フォーメーション!$A$2:$C$15,3,FALSE)</f>
        <v>4213</v>
      </c>
      <c r="H234" s="1">
        <v>1424</v>
      </c>
      <c r="I234" s="1">
        <v>1340</v>
      </c>
      <c r="J234" s="1">
        <v>4213</v>
      </c>
      <c r="K234" s="9">
        <v>0.54</v>
      </c>
      <c r="L234" s="1">
        <v>7</v>
      </c>
      <c r="M234" s="9">
        <v>0.84</v>
      </c>
      <c r="N234" s="1">
        <f t="shared" si="12"/>
        <v>1</v>
      </c>
      <c r="O234" s="1">
        <f t="shared" si="13"/>
        <v>2</v>
      </c>
      <c r="P234" s="1" t="str">
        <f t="shared" si="11"/>
        <v>負</v>
      </c>
      <c r="Q234" s="1" t="s">
        <v>12</v>
      </c>
      <c r="R234" s="17" t="s">
        <v>23</v>
      </c>
      <c r="S234" s="8" t="s">
        <v>111</v>
      </c>
      <c r="T234" s="17" t="s">
        <v>43</v>
      </c>
      <c r="U234" s="8" t="s">
        <v>12</v>
      </c>
      <c r="V234" s="17" t="s">
        <v>23</v>
      </c>
      <c r="W234" s="8"/>
      <c r="Y234" s="8"/>
      <c r="AA234" s="8"/>
      <c r="AC234" s="8"/>
      <c r="AE234" s="8"/>
    </row>
    <row r="235" spans="2:31" x14ac:dyDescent="0.4">
      <c r="B235" s="16">
        <v>44479</v>
      </c>
      <c r="C235" s="15">
        <v>0.95486111111111116</v>
      </c>
      <c r="D235" s="21">
        <f t="shared" ref="D235:D298" si="14">B235+C235</f>
        <v>44479.954861111109</v>
      </c>
      <c r="E235" s="25">
        <v>233</v>
      </c>
      <c r="F235" s="1">
        <v>11</v>
      </c>
      <c r="G235" s="1">
        <f>VLOOKUP(F235,監督フォーメーション!$A$2:$C$15,3,FALSE)</f>
        <v>4213</v>
      </c>
      <c r="H235" s="1">
        <v>1411</v>
      </c>
      <c r="I235" s="1">
        <v>1248</v>
      </c>
      <c r="J235" s="1">
        <v>5212</v>
      </c>
      <c r="K235" s="9">
        <v>0.59</v>
      </c>
      <c r="L235" s="1">
        <v>3</v>
      </c>
      <c r="M235" s="9">
        <v>0.86</v>
      </c>
      <c r="N235" s="1">
        <f t="shared" si="12"/>
        <v>2</v>
      </c>
      <c r="O235" s="1">
        <f t="shared" si="13"/>
        <v>2</v>
      </c>
      <c r="P235" s="1" t="str">
        <f t="shared" si="11"/>
        <v>引</v>
      </c>
      <c r="Q235" s="1" t="s">
        <v>43</v>
      </c>
      <c r="R235" s="17" t="s">
        <v>23</v>
      </c>
      <c r="S235" s="8" t="s">
        <v>41</v>
      </c>
      <c r="T235" s="17" t="s">
        <v>42</v>
      </c>
      <c r="U235" s="8" t="s">
        <v>12</v>
      </c>
      <c r="V235" s="17" t="s">
        <v>23</v>
      </c>
      <c r="W235" s="8" t="s">
        <v>12</v>
      </c>
      <c r="X235" s="17" t="s">
        <v>23</v>
      </c>
      <c r="Y235" s="8"/>
      <c r="AA235" s="8"/>
      <c r="AC235" s="8"/>
      <c r="AE235" s="8"/>
    </row>
    <row r="236" spans="2:31" x14ac:dyDescent="0.4">
      <c r="B236" s="16">
        <v>44479</v>
      </c>
      <c r="C236" s="15">
        <v>0.96180555555555547</v>
      </c>
      <c r="D236" s="21">
        <f t="shared" si="14"/>
        <v>44479.961805555555</v>
      </c>
      <c r="E236" s="25">
        <v>234</v>
      </c>
      <c r="F236" s="1">
        <v>11</v>
      </c>
      <c r="G236" s="1">
        <f>VLOOKUP(F236,監督フォーメーション!$A$2:$C$15,3,FALSE)</f>
        <v>4213</v>
      </c>
      <c r="H236" s="1">
        <v>1407</v>
      </c>
      <c r="I236" s="1">
        <v>1643</v>
      </c>
      <c r="K236" s="9"/>
      <c r="M236" s="9"/>
      <c r="N236" s="1">
        <f t="shared" si="12"/>
        <v>1</v>
      </c>
      <c r="O236" s="1">
        <f t="shared" si="13"/>
        <v>2</v>
      </c>
      <c r="P236" s="1" t="str">
        <f t="shared" si="11"/>
        <v>負</v>
      </c>
      <c r="Q236" s="1" t="s">
        <v>42</v>
      </c>
      <c r="R236" s="17" t="s">
        <v>23</v>
      </c>
      <c r="S236" s="8" t="s">
        <v>12</v>
      </c>
      <c r="T236" s="17" t="s">
        <v>23</v>
      </c>
      <c r="U236" s="8" t="s">
        <v>12</v>
      </c>
      <c r="V236" s="17" t="s">
        <v>23</v>
      </c>
      <c r="W236" s="8"/>
      <c r="Y236" s="8"/>
      <c r="AA236" s="8"/>
      <c r="AC236" s="8"/>
      <c r="AE236" s="8"/>
    </row>
    <row r="237" spans="2:31" x14ac:dyDescent="0.4">
      <c r="B237" s="16">
        <v>44479</v>
      </c>
      <c r="C237" s="15">
        <v>0.96944444444444444</v>
      </c>
      <c r="D237" s="21">
        <f t="shared" si="14"/>
        <v>44479.969444444447</v>
      </c>
      <c r="E237" s="25">
        <v>235</v>
      </c>
      <c r="F237" s="1">
        <v>11</v>
      </c>
      <c r="G237" s="1">
        <f>VLOOKUP(F237,監督フォーメーション!$A$2:$C$15,3,FALSE)</f>
        <v>4213</v>
      </c>
      <c r="H237" s="1">
        <v>1403</v>
      </c>
      <c r="I237" s="1">
        <v>1157</v>
      </c>
      <c r="J237" s="1">
        <v>4312</v>
      </c>
      <c r="K237" s="9" t="s">
        <v>13</v>
      </c>
      <c r="L237" s="1" t="s">
        <v>13</v>
      </c>
      <c r="M237" s="9" t="s">
        <v>13</v>
      </c>
      <c r="N237" s="1">
        <f t="shared" si="12"/>
        <v>4</v>
      </c>
      <c r="O237" s="1">
        <f t="shared" si="13"/>
        <v>0</v>
      </c>
      <c r="P237" s="1" t="str">
        <f t="shared" si="11"/>
        <v>勝</v>
      </c>
      <c r="Q237" s="1" t="s">
        <v>43</v>
      </c>
      <c r="R237" s="17" t="s">
        <v>41</v>
      </c>
      <c r="S237" s="8" t="s">
        <v>43</v>
      </c>
      <c r="T237" s="17" t="s">
        <v>44</v>
      </c>
      <c r="U237" s="8" t="s">
        <v>42</v>
      </c>
      <c r="V237" s="17" t="s">
        <v>41</v>
      </c>
      <c r="W237" s="8" t="s">
        <v>112</v>
      </c>
      <c r="X237" s="17" t="s">
        <v>43</v>
      </c>
      <c r="Y237" s="8"/>
      <c r="AA237" s="8"/>
      <c r="AC237" s="8"/>
      <c r="AE237" s="8"/>
    </row>
    <row r="238" spans="2:31" x14ac:dyDescent="0.4">
      <c r="B238" s="16">
        <v>44479</v>
      </c>
      <c r="C238" s="15">
        <v>0.97638888888888886</v>
      </c>
      <c r="D238" s="21">
        <f t="shared" si="14"/>
        <v>44479.976388888892</v>
      </c>
      <c r="E238" s="25">
        <v>236</v>
      </c>
      <c r="F238" s="1">
        <v>11</v>
      </c>
      <c r="G238" s="1">
        <f>VLOOKUP(F238,監督フォーメーション!$A$2:$C$15,3,FALSE)</f>
        <v>4213</v>
      </c>
      <c r="H238" s="1">
        <v>1408</v>
      </c>
      <c r="I238" s="1">
        <v>1369</v>
      </c>
      <c r="J238" s="1">
        <v>4222</v>
      </c>
      <c r="K238" s="9"/>
      <c r="M238" s="9"/>
      <c r="N238" s="1">
        <f t="shared" si="12"/>
        <v>0</v>
      </c>
      <c r="O238" s="1">
        <f t="shared" si="13"/>
        <v>0</v>
      </c>
      <c r="P238" s="1" t="str">
        <f t="shared" si="11"/>
        <v>引</v>
      </c>
      <c r="S238" s="8"/>
      <c r="U238" s="8"/>
      <c r="W238" s="8"/>
      <c r="Y238" s="8"/>
      <c r="AA238" s="8"/>
      <c r="AC238" s="8"/>
      <c r="AE238" s="8"/>
    </row>
    <row r="239" spans="2:31" x14ac:dyDescent="0.4">
      <c r="B239" s="16">
        <v>44483</v>
      </c>
      <c r="C239" s="15">
        <v>0.98611111111111116</v>
      </c>
      <c r="D239" s="21">
        <f t="shared" si="14"/>
        <v>44483.986111111109</v>
      </c>
      <c r="E239" s="25">
        <v>237</v>
      </c>
      <c r="F239" s="1">
        <v>11</v>
      </c>
      <c r="G239" s="1">
        <f>VLOOKUP(F239,監督フォーメーション!$A$2:$C$15,3,FALSE)</f>
        <v>4213</v>
      </c>
      <c r="H239" s="1">
        <v>1385</v>
      </c>
      <c r="I239" s="1">
        <v>1251</v>
      </c>
      <c r="J239" s="1">
        <v>3232</v>
      </c>
      <c r="K239" s="9">
        <v>0.62</v>
      </c>
      <c r="L239" s="1">
        <v>4</v>
      </c>
      <c r="M239" s="9">
        <v>0.84</v>
      </c>
      <c r="N239" s="1">
        <f t="shared" si="12"/>
        <v>1</v>
      </c>
      <c r="O239" s="1">
        <f t="shared" si="13"/>
        <v>0</v>
      </c>
      <c r="P239" s="1" t="str">
        <f t="shared" si="11"/>
        <v>勝</v>
      </c>
      <c r="Q239" s="1" t="s">
        <v>43</v>
      </c>
      <c r="R239" s="17" t="s">
        <v>23</v>
      </c>
      <c r="S239" s="8"/>
      <c r="U239" s="8"/>
      <c r="W239" s="8"/>
      <c r="Y239" s="8"/>
      <c r="AA239" s="8"/>
      <c r="AC239" s="8"/>
      <c r="AE239" s="8"/>
    </row>
    <row r="240" spans="2:31" x14ac:dyDescent="0.4">
      <c r="B240" s="16">
        <v>44483</v>
      </c>
      <c r="C240" s="15">
        <v>0.98611111111111116</v>
      </c>
      <c r="D240" s="21">
        <f t="shared" si="14"/>
        <v>44483.986111111109</v>
      </c>
      <c r="E240" s="25">
        <v>238</v>
      </c>
      <c r="F240" s="1">
        <v>11</v>
      </c>
      <c r="G240" s="1">
        <f>VLOOKUP(F240,監督フォーメーション!$A$2:$C$15,3,FALSE)</f>
        <v>4213</v>
      </c>
      <c r="H240" s="1">
        <v>1392</v>
      </c>
      <c r="I240" s="1">
        <v>1135</v>
      </c>
      <c r="J240" s="1">
        <v>433</v>
      </c>
      <c r="K240" s="9">
        <v>0.49</v>
      </c>
      <c r="L240" s="1">
        <v>7</v>
      </c>
      <c r="M240" s="9">
        <v>0.9</v>
      </c>
      <c r="N240" s="1">
        <f t="shared" si="12"/>
        <v>3</v>
      </c>
      <c r="O240" s="1">
        <f t="shared" si="13"/>
        <v>0</v>
      </c>
      <c r="P240" s="1" t="str">
        <f t="shared" si="11"/>
        <v>勝</v>
      </c>
      <c r="Q240" s="1" t="s">
        <v>41</v>
      </c>
      <c r="R240" s="17" t="s">
        <v>40</v>
      </c>
      <c r="S240" s="8" t="s">
        <v>63</v>
      </c>
      <c r="T240" s="17" t="s">
        <v>42</v>
      </c>
      <c r="U240" s="8" t="s">
        <v>40</v>
      </c>
      <c r="V240" s="17" t="s">
        <v>23</v>
      </c>
      <c r="W240" s="8"/>
      <c r="Y240" s="8"/>
      <c r="AA240" s="8"/>
      <c r="AC240" s="8"/>
      <c r="AE240" s="8"/>
    </row>
    <row r="241" spans="2:34" x14ac:dyDescent="0.4">
      <c r="B241" s="16">
        <v>44483</v>
      </c>
      <c r="C241" s="15">
        <v>0.99305555555555547</v>
      </c>
      <c r="D241" s="21">
        <f t="shared" si="14"/>
        <v>44483.993055555555</v>
      </c>
      <c r="E241" s="25">
        <v>239</v>
      </c>
      <c r="F241" s="1">
        <v>11</v>
      </c>
      <c r="G241" s="1">
        <f>VLOOKUP(F241,監督フォーメーション!$A$2:$C$15,3,FALSE)</f>
        <v>4213</v>
      </c>
      <c r="H241" s="1">
        <v>1397</v>
      </c>
      <c r="I241" s="1">
        <v>1538</v>
      </c>
      <c r="J241" s="1">
        <v>4213</v>
      </c>
      <c r="K241" s="9">
        <v>0.46</v>
      </c>
      <c r="L241" s="1">
        <v>11</v>
      </c>
      <c r="M241" s="9">
        <v>0.86</v>
      </c>
      <c r="N241" s="1">
        <f t="shared" si="12"/>
        <v>8</v>
      </c>
      <c r="O241" s="1">
        <f t="shared" si="13"/>
        <v>1</v>
      </c>
      <c r="P241" s="1" t="str">
        <f t="shared" si="11"/>
        <v>勝</v>
      </c>
      <c r="Q241" s="1" t="s">
        <v>43</v>
      </c>
      <c r="R241" s="17" t="s">
        <v>41</v>
      </c>
      <c r="S241" s="8" t="s">
        <v>42</v>
      </c>
      <c r="T241" s="17" t="s">
        <v>23</v>
      </c>
      <c r="U241" s="8" t="s">
        <v>12</v>
      </c>
      <c r="V241" s="17" t="s">
        <v>23</v>
      </c>
      <c r="W241" s="8" t="s">
        <v>42</v>
      </c>
      <c r="X241" s="17" t="s">
        <v>40</v>
      </c>
      <c r="Y241" s="8" t="s">
        <v>44</v>
      </c>
      <c r="Z241" s="17" t="s">
        <v>23</v>
      </c>
      <c r="AA241" s="8" t="s">
        <v>44</v>
      </c>
      <c r="AB241" s="17" t="s">
        <v>41</v>
      </c>
      <c r="AC241" s="8" t="s">
        <v>40</v>
      </c>
      <c r="AD241" s="17" t="s">
        <v>41</v>
      </c>
      <c r="AE241" s="8" t="s">
        <v>42</v>
      </c>
      <c r="AF241" s="17" t="s">
        <v>43</v>
      </c>
      <c r="AG241" t="s">
        <v>42</v>
      </c>
      <c r="AH241" t="s">
        <v>41</v>
      </c>
    </row>
    <row r="242" spans="2:34" x14ac:dyDescent="0.4">
      <c r="B242" s="16">
        <v>44484</v>
      </c>
      <c r="C242" s="15">
        <v>0.95694444444444438</v>
      </c>
      <c r="D242" s="21">
        <f t="shared" si="14"/>
        <v>44484.956944444442</v>
      </c>
      <c r="E242" s="25">
        <v>240</v>
      </c>
      <c r="F242" s="1">
        <v>11</v>
      </c>
      <c r="G242" s="1">
        <f>VLOOKUP(F242,監督フォーメーション!$A$2:$C$15,3,FALSE)</f>
        <v>4213</v>
      </c>
      <c r="H242" s="1">
        <v>1413</v>
      </c>
      <c r="J242" s="1">
        <v>3241</v>
      </c>
      <c r="K242" s="9">
        <v>0.52</v>
      </c>
      <c r="L242" s="1">
        <v>2</v>
      </c>
      <c r="M242" s="9">
        <v>0.83</v>
      </c>
      <c r="N242" s="1">
        <f t="shared" si="12"/>
        <v>1</v>
      </c>
      <c r="O242" s="1">
        <f t="shared" si="13"/>
        <v>0</v>
      </c>
      <c r="P242" s="1" t="str">
        <f t="shared" si="11"/>
        <v>勝</v>
      </c>
      <c r="Q242" s="1" t="s">
        <v>44</v>
      </c>
      <c r="R242" s="17" t="s">
        <v>42</v>
      </c>
      <c r="S242" s="8"/>
      <c r="U242" s="8"/>
      <c r="W242" s="8"/>
      <c r="Y242" s="8"/>
      <c r="AA242" s="8"/>
      <c r="AC242" s="8"/>
      <c r="AE242" s="8"/>
    </row>
    <row r="243" spans="2:34" x14ac:dyDescent="0.4">
      <c r="B243" s="16">
        <v>44484</v>
      </c>
      <c r="C243" s="15">
        <v>0.96388888888888891</v>
      </c>
      <c r="D243" s="21">
        <f t="shared" si="14"/>
        <v>44484.963888888888</v>
      </c>
      <c r="E243" s="25">
        <v>241</v>
      </c>
      <c r="F243" s="1">
        <v>11</v>
      </c>
      <c r="G243" s="1">
        <f>VLOOKUP(F243,監督フォーメーション!$A$2:$C$15,3,FALSE)</f>
        <v>4213</v>
      </c>
      <c r="H243" s="1">
        <v>1417</v>
      </c>
      <c r="J243" s="1">
        <v>4312</v>
      </c>
      <c r="K243" s="9">
        <v>0.56000000000000005</v>
      </c>
      <c r="L243" s="1">
        <v>4</v>
      </c>
      <c r="M243" s="9">
        <v>0.88</v>
      </c>
      <c r="N243" s="1">
        <f t="shared" si="12"/>
        <v>2</v>
      </c>
      <c r="O243" s="1">
        <f t="shared" si="13"/>
        <v>0</v>
      </c>
      <c r="P243" s="1" t="str">
        <f t="shared" si="11"/>
        <v>勝</v>
      </c>
      <c r="Q243" s="1" t="s">
        <v>44</v>
      </c>
      <c r="R243" s="17" t="s">
        <v>23</v>
      </c>
      <c r="S243" s="8" t="s">
        <v>44</v>
      </c>
      <c r="T243" s="28" t="s">
        <v>119</v>
      </c>
      <c r="U243" s="8"/>
      <c r="W243" s="8"/>
      <c r="Y243" s="8"/>
      <c r="AA243" s="8"/>
      <c r="AC243" s="8"/>
      <c r="AE243" s="8"/>
    </row>
    <row r="244" spans="2:34" x14ac:dyDescent="0.4">
      <c r="B244" s="16">
        <v>44484</v>
      </c>
      <c r="C244" s="15">
        <v>0.97083333333333333</v>
      </c>
      <c r="D244" s="21">
        <f t="shared" si="14"/>
        <v>44484.970833333333</v>
      </c>
      <c r="E244" s="25">
        <v>242</v>
      </c>
      <c r="F244" s="1">
        <v>11</v>
      </c>
      <c r="G244" s="1">
        <f>VLOOKUP(F244,監督フォーメーション!$A$2:$C$15,3,FALSE)</f>
        <v>4213</v>
      </c>
      <c r="H244" s="1">
        <v>1425</v>
      </c>
      <c r="J244" s="1">
        <v>5212</v>
      </c>
      <c r="K244" s="9" t="s">
        <v>13</v>
      </c>
      <c r="L244" s="1" t="s">
        <v>13</v>
      </c>
      <c r="M244" s="9" t="s">
        <v>13</v>
      </c>
      <c r="N244" s="1">
        <f t="shared" si="12"/>
        <v>3</v>
      </c>
      <c r="O244" s="1">
        <f t="shared" si="13"/>
        <v>0</v>
      </c>
      <c r="P244" s="1" t="str">
        <f t="shared" si="11"/>
        <v>勝</v>
      </c>
      <c r="Q244" s="1" t="s">
        <v>42</v>
      </c>
      <c r="R244" s="17" t="s">
        <v>23</v>
      </c>
      <c r="S244" s="8" t="s">
        <v>42</v>
      </c>
      <c r="T244" s="17" t="s">
        <v>23</v>
      </c>
      <c r="U244" s="8" t="s">
        <v>42</v>
      </c>
      <c r="V244" s="17" t="s">
        <v>41</v>
      </c>
      <c r="W244" s="8"/>
      <c r="Y244" s="8"/>
      <c r="AA244" s="8"/>
      <c r="AC244" s="8"/>
      <c r="AE244" s="8"/>
    </row>
    <row r="245" spans="2:34" x14ac:dyDescent="0.4">
      <c r="B245" s="16">
        <v>44484</v>
      </c>
      <c r="C245" s="15">
        <v>0.97430555555555554</v>
      </c>
      <c r="D245" s="21">
        <f t="shared" si="14"/>
        <v>44484.974305555559</v>
      </c>
      <c r="E245" s="25">
        <v>243</v>
      </c>
      <c r="F245" s="1">
        <v>11</v>
      </c>
      <c r="G245" s="1">
        <f>VLOOKUP(F245,監督フォーメーション!$A$2:$C$15,3,FALSE)</f>
        <v>4213</v>
      </c>
      <c r="H245" s="1">
        <v>1435</v>
      </c>
      <c r="J245" s="1">
        <v>343</v>
      </c>
      <c r="K245" s="9">
        <v>0.63</v>
      </c>
      <c r="L245" s="1">
        <v>4</v>
      </c>
      <c r="M245" s="9">
        <v>0.86</v>
      </c>
      <c r="N245" s="1">
        <f t="shared" si="12"/>
        <v>0</v>
      </c>
      <c r="O245" s="1">
        <f t="shared" si="13"/>
        <v>1</v>
      </c>
      <c r="P245" s="1" t="str">
        <f t="shared" si="11"/>
        <v>負</v>
      </c>
      <c r="Q245" s="1" t="s">
        <v>12</v>
      </c>
      <c r="R245" s="17" t="s">
        <v>23</v>
      </c>
      <c r="S245" s="8"/>
      <c r="U245" s="8"/>
      <c r="W245" s="8"/>
      <c r="Y245" s="8"/>
      <c r="AA245" s="8"/>
      <c r="AC245" s="8"/>
      <c r="AE245" s="8"/>
    </row>
    <row r="246" spans="2:34" x14ac:dyDescent="0.4">
      <c r="B246" s="16">
        <v>44484</v>
      </c>
      <c r="C246" s="15">
        <v>0.9819444444444444</v>
      </c>
      <c r="D246" s="21">
        <f t="shared" si="14"/>
        <v>44484.981944444444</v>
      </c>
      <c r="E246" s="25">
        <v>244</v>
      </c>
      <c r="F246" s="1">
        <v>11</v>
      </c>
      <c r="G246" s="1">
        <f>VLOOKUP(F246,監督フォーメーション!$A$2:$C$15,3,FALSE)</f>
        <v>4213</v>
      </c>
      <c r="H246" s="1">
        <v>1425</v>
      </c>
      <c r="J246" s="1">
        <v>5212</v>
      </c>
      <c r="K246" s="9"/>
      <c r="M246" s="9"/>
      <c r="N246" s="1">
        <f t="shared" si="12"/>
        <v>1</v>
      </c>
      <c r="O246" s="1">
        <f t="shared" si="13"/>
        <v>0</v>
      </c>
      <c r="P246" s="1" t="str">
        <f t="shared" si="11"/>
        <v>勝</v>
      </c>
      <c r="Q246" s="1" t="s">
        <v>41</v>
      </c>
      <c r="R246" s="17" t="s">
        <v>44</v>
      </c>
      <c r="S246" s="8"/>
      <c r="U246" s="8"/>
      <c r="W246" s="8"/>
      <c r="Y246" s="8"/>
      <c r="AA246" s="8"/>
      <c r="AC246" s="8"/>
      <c r="AE246" s="8"/>
    </row>
    <row r="247" spans="2:34" x14ac:dyDescent="0.4">
      <c r="B247" s="16">
        <v>44484</v>
      </c>
      <c r="C247" s="15">
        <v>0.98888888888888893</v>
      </c>
      <c r="D247" s="21">
        <f t="shared" si="14"/>
        <v>44484.988888888889</v>
      </c>
      <c r="E247" s="25">
        <v>245</v>
      </c>
      <c r="F247" s="1">
        <v>11</v>
      </c>
      <c r="G247" s="1">
        <f>VLOOKUP(F247,監督フォーメーション!$A$2:$C$15,3,FALSE)</f>
        <v>4213</v>
      </c>
      <c r="H247" s="1">
        <v>1434</v>
      </c>
      <c r="J247" s="1">
        <v>4312</v>
      </c>
      <c r="K247" s="9">
        <v>0.62</v>
      </c>
      <c r="L247" s="1">
        <v>6</v>
      </c>
      <c r="M247" s="9">
        <v>0.85</v>
      </c>
      <c r="N247" s="1">
        <f t="shared" si="12"/>
        <v>4</v>
      </c>
      <c r="O247" s="1">
        <f t="shared" si="13"/>
        <v>2</v>
      </c>
      <c r="P247" s="1" t="str">
        <f t="shared" si="11"/>
        <v>勝</v>
      </c>
      <c r="Q247" s="1" t="s">
        <v>44</v>
      </c>
      <c r="R247" s="17" t="s">
        <v>43</v>
      </c>
      <c r="S247" s="8" t="s">
        <v>12</v>
      </c>
      <c r="T247" s="17" t="s">
        <v>23</v>
      </c>
      <c r="U247" s="8" t="s">
        <v>12</v>
      </c>
      <c r="V247" s="17" t="s">
        <v>23</v>
      </c>
      <c r="W247" s="8" t="s">
        <v>59</v>
      </c>
      <c r="X247" s="17" t="s">
        <v>43</v>
      </c>
      <c r="Y247" s="8" t="s">
        <v>43</v>
      </c>
      <c r="Z247" s="17" t="s">
        <v>41</v>
      </c>
      <c r="AA247" s="8" t="s">
        <v>63</v>
      </c>
      <c r="AB247" s="17" t="s">
        <v>108</v>
      </c>
      <c r="AC247" s="8"/>
      <c r="AE247" s="8"/>
    </row>
    <row r="248" spans="2:34" x14ac:dyDescent="0.4">
      <c r="B248" s="16">
        <v>44484</v>
      </c>
      <c r="C248" s="15">
        <v>0.99722222222222223</v>
      </c>
      <c r="D248" s="21">
        <f t="shared" si="14"/>
        <v>44484.99722222222</v>
      </c>
      <c r="E248" s="25">
        <v>246</v>
      </c>
      <c r="F248" s="1">
        <v>11</v>
      </c>
      <c r="G248" s="1">
        <f>VLOOKUP(F248,監督フォーメーション!$A$2:$C$15,3,FALSE)</f>
        <v>4213</v>
      </c>
      <c r="H248" s="1">
        <v>1439</v>
      </c>
      <c r="J248" s="1">
        <v>5212</v>
      </c>
      <c r="K248" s="9">
        <v>0.56999999999999995</v>
      </c>
      <c r="L248" s="1">
        <v>8</v>
      </c>
      <c r="M248" s="9">
        <v>0.87</v>
      </c>
      <c r="N248" s="1">
        <f t="shared" si="12"/>
        <v>4</v>
      </c>
      <c r="O248" s="1">
        <f t="shared" si="13"/>
        <v>3</v>
      </c>
      <c r="P248" s="1" t="str">
        <f t="shared" si="11"/>
        <v>勝</v>
      </c>
      <c r="Q248" s="1" t="s">
        <v>12</v>
      </c>
      <c r="R248" s="17" t="s">
        <v>23</v>
      </c>
      <c r="S248" s="8" t="s">
        <v>42</v>
      </c>
      <c r="T248" s="17" t="s">
        <v>23</v>
      </c>
      <c r="U248" s="8" t="s">
        <v>42</v>
      </c>
      <c r="V248" s="17" t="s">
        <v>41</v>
      </c>
      <c r="W248" s="8" t="s">
        <v>12</v>
      </c>
      <c r="X248" s="17" t="s">
        <v>23</v>
      </c>
      <c r="Y248" s="8" t="s">
        <v>43</v>
      </c>
      <c r="Z248" s="17" t="s">
        <v>63</v>
      </c>
      <c r="AA248" s="8" t="s">
        <v>12</v>
      </c>
      <c r="AB248" s="17" t="s">
        <v>23</v>
      </c>
      <c r="AC248" s="8" t="s">
        <v>43</v>
      </c>
      <c r="AD248" s="17" t="s">
        <v>111</v>
      </c>
      <c r="AE248" s="8"/>
    </row>
    <row r="249" spans="2:34" x14ac:dyDescent="0.4">
      <c r="B249" s="16">
        <v>44485</v>
      </c>
      <c r="C249" s="15">
        <v>0.96805555555555556</v>
      </c>
      <c r="D249" s="21">
        <f t="shared" si="14"/>
        <v>44485.968055555553</v>
      </c>
      <c r="E249" s="25">
        <v>247</v>
      </c>
      <c r="F249" s="1">
        <v>11</v>
      </c>
      <c r="G249" s="1">
        <f>VLOOKUP(F249,監督フォーメーション!$A$2:$C$15,3,FALSE)</f>
        <v>4213</v>
      </c>
      <c r="H249" s="1">
        <v>1449</v>
      </c>
      <c r="I249" s="1">
        <v>1285</v>
      </c>
      <c r="J249" s="1">
        <v>4123</v>
      </c>
      <c r="K249" s="9">
        <v>0.57999999999999996</v>
      </c>
      <c r="L249" s="1">
        <v>2</v>
      </c>
      <c r="M249" s="9">
        <v>0.82</v>
      </c>
      <c r="N249" s="1">
        <f t="shared" si="12"/>
        <v>1</v>
      </c>
      <c r="O249" s="1">
        <f t="shared" si="13"/>
        <v>0</v>
      </c>
      <c r="P249" s="1" t="str">
        <f t="shared" si="11"/>
        <v>勝</v>
      </c>
      <c r="Q249" s="1" t="s">
        <v>42</v>
      </c>
      <c r="R249" s="17" t="s">
        <v>63</v>
      </c>
      <c r="S249" s="8"/>
      <c r="U249" s="8"/>
      <c r="W249" s="8"/>
      <c r="Y249" s="8"/>
      <c r="AA249" s="8"/>
      <c r="AC249" s="8"/>
      <c r="AE249" s="8"/>
    </row>
    <row r="250" spans="2:34" x14ac:dyDescent="0.4">
      <c r="B250" s="16">
        <v>44485</v>
      </c>
      <c r="C250" s="15">
        <v>0.97361111111111109</v>
      </c>
      <c r="D250" s="21">
        <f t="shared" si="14"/>
        <v>44485.973611111112</v>
      </c>
      <c r="E250" s="25">
        <v>248</v>
      </c>
      <c r="F250" s="1">
        <v>11</v>
      </c>
      <c r="G250" s="1">
        <f>VLOOKUP(F250,監督フォーメーション!$A$2:$C$15,3,FALSE)</f>
        <v>4213</v>
      </c>
      <c r="H250" s="1">
        <v>1456</v>
      </c>
      <c r="I250" s="1">
        <v>1374</v>
      </c>
      <c r="J250" s="1">
        <v>5212</v>
      </c>
      <c r="K250" s="9">
        <v>0.56000000000000005</v>
      </c>
      <c r="L250" s="1">
        <v>6</v>
      </c>
      <c r="M250" s="9">
        <v>0.84</v>
      </c>
      <c r="N250" s="1">
        <f t="shared" si="12"/>
        <v>0</v>
      </c>
      <c r="O250" s="1">
        <f t="shared" si="13"/>
        <v>0</v>
      </c>
      <c r="P250" s="1" t="str">
        <f t="shared" si="11"/>
        <v>引</v>
      </c>
      <c r="S250" s="8"/>
      <c r="U250" s="8"/>
      <c r="W250" s="8"/>
      <c r="Y250" s="8"/>
      <c r="AA250" s="8"/>
      <c r="AC250" s="8"/>
      <c r="AE250" s="8"/>
    </row>
    <row r="251" spans="2:34" x14ac:dyDescent="0.4">
      <c r="B251" s="16">
        <v>44486</v>
      </c>
      <c r="C251" s="15">
        <v>0.43472222222222223</v>
      </c>
      <c r="D251" s="21">
        <f t="shared" si="14"/>
        <v>44486.43472222222</v>
      </c>
      <c r="E251" s="25">
        <v>249</v>
      </c>
      <c r="F251" s="1">
        <v>11</v>
      </c>
      <c r="G251" s="1">
        <f>VLOOKUP(F251,監督フォーメーション!$A$2:$C$15,3,FALSE)</f>
        <v>4213</v>
      </c>
      <c r="H251" s="1">
        <v>1454</v>
      </c>
      <c r="J251" s="1">
        <v>5122</v>
      </c>
      <c r="K251" s="9">
        <v>0.48</v>
      </c>
      <c r="L251" s="1">
        <v>3</v>
      </c>
      <c r="M251" s="9">
        <v>0.8</v>
      </c>
      <c r="N251" s="1">
        <f t="shared" si="12"/>
        <v>1</v>
      </c>
      <c r="O251" s="1">
        <f t="shared" si="13"/>
        <v>1</v>
      </c>
      <c r="P251" s="1" t="str">
        <f t="shared" si="11"/>
        <v>引</v>
      </c>
      <c r="Q251" s="1" t="s">
        <v>44</v>
      </c>
      <c r="R251" s="17" t="s">
        <v>41</v>
      </c>
      <c r="S251" s="8" t="s">
        <v>12</v>
      </c>
      <c r="T251" s="17" t="s">
        <v>23</v>
      </c>
      <c r="U251" s="8"/>
      <c r="W251" s="8"/>
      <c r="Y251" s="8"/>
      <c r="AA251" s="8"/>
      <c r="AC251" s="8"/>
      <c r="AE251" s="8"/>
    </row>
    <row r="252" spans="2:34" x14ac:dyDescent="0.4">
      <c r="B252" s="16">
        <v>44486</v>
      </c>
      <c r="C252" s="15">
        <v>0.43472222222222223</v>
      </c>
      <c r="D252" s="21">
        <f t="shared" si="14"/>
        <v>44486.43472222222</v>
      </c>
      <c r="E252" s="25">
        <v>250</v>
      </c>
      <c r="F252" s="1">
        <v>11</v>
      </c>
      <c r="G252" s="1">
        <f>VLOOKUP(F252,監督フォーメーション!$A$2:$C$15,3,FALSE)</f>
        <v>4213</v>
      </c>
      <c r="H252" s="1">
        <v>1453</v>
      </c>
      <c r="J252" s="1">
        <v>3313</v>
      </c>
      <c r="K252" s="9">
        <v>0.56999999999999995</v>
      </c>
      <c r="L252" s="1">
        <v>2</v>
      </c>
      <c r="M252" s="9">
        <v>0.82</v>
      </c>
      <c r="N252" s="1">
        <f t="shared" si="12"/>
        <v>0</v>
      </c>
      <c r="O252" s="1">
        <f t="shared" si="13"/>
        <v>2</v>
      </c>
      <c r="P252" s="1" t="str">
        <f t="shared" si="11"/>
        <v>負</v>
      </c>
      <c r="Q252" s="1" t="s">
        <v>12</v>
      </c>
      <c r="R252" s="17" t="s">
        <v>23</v>
      </c>
      <c r="S252" s="8" t="s">
        <v>12</v>
      </c>
      <c r="T252" s="17" t="s">
        <v>23</v>
      </c>
      <c r="U252" s="8"/>
      <c r="W252" s="8"/>
      <c r="Y252" s="8"/>
      <c r="AA252" s="8"/>
      <c r="AC252" s="8"/>
      <c r="AE252" s="8"/>
    </row>
    <row r="253" spans="2:34" x14ac:dyDescent="0.4">
      <c r="B253" s="16">
        <v>44486</v>
      </c>
      <c r="C253" s="15">
        <v>0.44166666666666665</v>
      </c>
      <c r="D253" s="21">
        <f t="shared" si="14"/>
        <v>44486.441666666666</v>
      </c>
      <c r="E253" s="25">
        <v>251</v>
      </c>
      <c r="F253" s="1">
        <v>11</v>
      </c>
      <c r="G253" s="1">
        <f>VLOOKUP(F253,監督フォーメーション!$A$2:$C$15,3,FALSE)</f>
        <v>4213</v>
      </c>
      <c r="H253" s="1">
        <v>1432</v>
      </c>
      <c r="J253" s="1">
        <v>4213</v>
      </c>
      <c r="K253" s="9">
        <v>0.56000000000000005</v>
      </c>
      <c r="L253" s="1">
        <v>7</v>
      </c>
      <c r="M253" s="9">
        <v>0.82</v>
      </c>
      <c r="N253" s="1">
        <f t="shared" si="12"/>
        <v>3</v>
      </c>
      <c r="O253" s="1">
        <f t="shared" si="13"/>
        <v>0</v>
      </c>
      <c r="P253" s="1" t="str">
        <f t="shared" si="11"/>
        <v>勝</v>
      </c>
      <c r="Q253" s="1" t="s">
        <v>43</v>
      </c>
      <c r="R253" s="17" t="s">
        <v>42</v>
      </c>
      <c r="S253" s="8" t="s">
        <v>43</v>
      </c>
      <c r="T253" s="17" t="s">
        <v>63</v>
      </c>
      <c r="U253" s="8" t="s">
        <v>111</v>
      </c>
      <c r="V253" s="17" t="s">
        <v>23</v>
      </c>
      <c r="W253" s="8"/>
      <c r="Y253" s="8"/>
      <c r="AA253" s="8"/>
      <c r="AC253" s="8"/>
      <c r="AE253" s="8"/>
    </row>
    <row r="254" spans="2:34" x14ac:dyDescent="0.4">
      <c r="B254" s="16">
        <v>44488</v>
      </c>
      <c r="C254" s="15">
        <v>0.9</v>
      </c>
      <c r="D254" s="21">
        <f t="shared" si="14"/>
        <v>44488.9</v>
      </c>
      <c r="E254" s="25">
        <v>252</v>
      </c>
      <c r="F254" s="1">
        <v>11</v>
      </c>
      <c r="G254" s="1">
        <f>VLOOKUP(F254,監督フォーメーション!$A$2:$C$15,3,FALSE)</f>
        <v>4213</v>
      </c>
      <c r="H254" s="1">
        <v>1436</v>
      </c>
      <c r="J254" s="1">
        <v>4312</v>
      </c>
      <c r="K254" s="9"/>
      <c r="M254" s="9"/>
      <c r="N254" s="1">
        <f t="shared" si="12"/>
        <v>1</v>
      </c>
      <c r="O254" s="1">
        <f t="shared" si="13"/>
        <v>3</v>
      </c>
      <c r="P254" s="1" t="str">
        <f t="shared" si="11"/>
        <v>負</v>
      </c>
      <c r="Q254" s="1" t="s">
        <v>12</v>
      </c>
      <c r="R254" s="17" t="s">
        <v>23</v>
      </c>
      <c r="S254" s="8" t="s">
        <v>12</v>
      </c>
      <c r="T254" s="17" t="s">
        <v>23</v>
      </c>
      <c r="U254" s="8" t="s">
        <v>44</v>
      </c>
      <c r="V254" s="17" t="s">
        <v>41</v>
      </c>
      <c r="W254" s="8" t="s">
        <v>12</v>
      </c>
      <c r="X254" s="17" t="s">
        <v>23</v>
      </c>
      <c r="Y254" s="8"/>
      <c r="AA254" s="8"/>
      <c r="AC254" s="8"/>
      <c r="AE254" s="8"/>
    </row>
    <row r="255" spans="2:34" x14ac:dyDescent="0.4">
      <c r="B255" s="16">
        <v>44488</v>
      </c>
      <c r="C255" s="15">
        <v>0.90833333333333333</v>
      </c>
      <c r="D255" s="21">
        <f t="shared" si="14"/>
        <v>44488.908333333333</v>
      </c>
      <c r="E255" s="25">
        <v>253</v>
      </c>
      <c r="F255" s="1">
        <v>11</v>
      </c>
      <c r="G255" s="1">
        <f>VLOOKUP(F255,監督フォーメーション!$A$2:$C$15,3,FALSE)</f>
        <v>4213</v>
      </c>
      <c r="H255" s="1">
        <v>1425</v>
      </c>
      <c r="I255" s="1">
        <v>1455</v>
      </c>
      <c r="J255" s="1">
        <v>5212</v>
      </c>
      <c r="K255" s="9">
        <v>0.63</v>
      </c>
      <c r="L255" s="1">
        <v>7</v>
      </c>
      <c r="M255" s="9">
        <v>0.83</v>
      </c>
      <c r="N255" s="1">
        <f t="shared" si="12"/>
        <v>5</v>
      </c>
      <c r="O255" s="1">
        <f t="shared" si="13"/>
        <v>1</v>
      </c>
      <c r="P255" s="1" t="str">
        <f t="shared" si="11"/>
        <v>勝</v>
      </c>
      <c r="Q255" s="1" t="s">
        <v>12</v>
      </c>
      <c r="R255" s="17" t="s">
        <v>23</v>
      </c>
      <c r="S255" s="8" t="s">
        <v>44</v>
      </c>
      <c r="T255" s="17" t="s">
        <v>41</v>
      </c>
      <c r="U255" s="8" t="s">
        <v>44</v>
      </c>
      <c r="V255" s="17" t="s">
        <v>43</v>
      </c>
      <c r="W255" s="8" t="s">
        <v>54</v>
      </c>
      <c r="X255" s="17" t="s">
        <v>59</v>
      </c>
      <c r="Y255" s="8" t="s">
        <v>54</v>
      </c>
      <c r="Z255" s="17" t="s">
        <v>41</v>
      </c>
      <c r="AA255" s="8" t="s">
        <v>54</v>
      </c>
      <c r="AB255" s="17" t="s">
        <v>23</v>
      </c>
      <c r="AC255" s="8"/>
      <c r="AE255" s="8"/>
    </row>
    <row r="256" spans="2:34" x14ac:dyDescent="0.4">
      <c r="B256" s="16">
        <v>44488</v>
      </c>
      <c r="C256" s="15">
        <v>0.92013888888888884</v>
      </c>
      <c r="D256" s="21">
        <f t="shared" si="14"/>
        <v>44488.920138888891</v>
      </c>
      <c r="E256" s="25">
        <v>254</v>
      </c>
      <c r="F256" s="1">
        <v>11</v>
      </c>
      <c r="G256" s="1">
        <f>VLOOKUP(F256,監督フォーメーション!$A$2:$C$15,3,FALSE)</f>
        <v>4213</v>
      </c>
      <c r="H256" s="1">
        <v>1437</v>
      </c>
      <c r="I256" s="1">
        <v>1682</v>
      </c>
      <c r="J256" s="1">
        <v>343</v>
      </c>
      <c r="K256" s="9" t="s">
        <v>13</v>
      </c>
      <c r="L256" s="1" t="s">
        <v>13</v>
      </c>
      <c r="M256" s="9" t="s">
        <v>13</v>
      </c>
      <c r="N256" s="1">
        <f t="shared" si="12"/>
        <v>2</v>
      </c>
      <c r="O256" s="1">
        <f t="shared" si="13"/>
        <v>0</v>
      </c>
      <c r="P256" s="1" t="str">
        <f t="shared" si="11"/>
        <v>勝</v>
      </c>
      <c r="Q256" s="1" t="s">
        <v>42</v>
      </c>
      <c r="R256" s="17" t="s">
        <v>63</v>
      </c>
      <c r="S256" s="8" t="s">
        <v>43</v>
      </c>
      <c r="T256" s="17" t="s">
        <v>63</v>
      </c>
      <c r="U256" s="8"/>
      <c r="W256" s="8"/>
      <c r="Y256" s="8"/>
      <c r="AA256" s="8"/>
      <c r="AC256" s="8"/>
      <c r="AE256" s="8"/>
    </row>
    <row r="257" spans="2:31" x14ac:dyDescent="0.4">
      <c r="B257" s="16">
        <v>44507</v>
      </c>
      <c r="C257" s="15">
        <v>0.66666666666666663</v>
      </c>
      <c r="D257" s="21">
        <f t="shared" si="14"/>
        <v>44507.666666666664</v>
      </c>
      <c r="E257" s="25">
        <v>255</v>
      </c>
      <c r="F257" s="1">
        <v>11</v>
      </c>
      <c r="G257" s="1">
        <f>VLOOKUP(F257,監督フォーメーション!$A$2:$C$15,3,FALSE)</f>
        <v>4213</v>
      </c>
      <c r="H257" s="1">
        <v>1428</v>
      </c>
      <c r="I257" s="1">
        <v>1165</v>
      </c>
      <c r="J257" s="1">
        <v>4312</v>
      </c>
      <c r="K257" s="9">
        <v>0.51</v>
      </c>
      <c r="L257" s="1">
        <v>8</v>
      </c>
      <c r="M257" s="9">
        <v>0.77</v>
      </c>
      <c r="N257" s="1">
        <f t="shared" si="12"/>
        <v>3</v>
      </c>
      <c r="O257" s="1">
        <f t="shared" si="13"/>
        <v>0</v>
      </c>
      <c r="P257" s="1" t="str">
        <f t="shared" si="11"/>
        <v>勝</v>
      </c>
      <c r="Q257" s="1" t="s">
        <v>42</v>
      </c>
      <c r="R257" s="17" t="s">
        <v>59</v>
      </c>
      <c r="S257" s="8" t="s">
        <v>44</v>
      </c>
      <c r="T257" s="17" t="s">
        <v>42</v>
      </c>
      <c r="U257" s="8" t="s">
        <v>44</v>
      </c>
      <c r="V257" s="17" t="s">
        <v>23</v>
      </c>
      <c r="W257" s="8"/>
      <c r="Y257" s="8"/>
      <c r="AA257" s="8"/>
      <c r="AC257" s="8"/>
      <c r="AE257" s="8"/>
    </row>
    <row r="258" spans="2:31" x14ac:dyDescent="0.4">
      <c r="B258" s="16">
        <v>44507</v>
      </c>
      <c r="C258" s="15">
        <v>0.67291666666666661</v>
      </c>
      <c r="D258" s="21">
        <f t="shared" si="14"/>
        <v>44507.67291666667</v>
      </c>
      <c r="E258" s="25">
        <v>256</v>
      </c>
      <c r="F258" s="1">
        <v>11</v>
      </c>
      <c r="G258" s="1">
        <f>VLOOKUP(F258,監督フォーメーション!$A$2:$C$15,3,FALSE)</f>
        <v>4213</v>
      </c>
      <c r="H258" s="1">
        <v>1433</v>
      </c>
      <c r="J258" s="1">
        <v>4312</v>
      </c>
      <c r="K258" s="9">
        <v>0.53</v>
      </c>
      <c r="L258" s="1">
        <v>5</v>
      </c>
      <c r="M258" s="9">
        <v>0.79</v>
      </c>
      <c r="N258" s="1">
        <f t="shared" si="12"/>
        <v>2</v>
      </c>
      <c r="O258" s="1">
        <f t="shared" si="13"/>
        <v>2</v>
      </c>
      <c r="P258" s="1" t="str">
        <f t="shared" si="11"/>
        <v>引</v>
      </c>
      <c r="Q258" s="1" t="s">
        <v>12</v>
      </c>
      <c r="R258" s="17" t="s">
        <v>23</v>
      </c>
      <c r="S258" s="8" t="s">
        <v>42</v>
      </c>
      <c r="T258" s="17" t="s">
        <v>44</v>
      </c>
      <c r="U258" s="8" t="s">
        <v>43</v>
      </c>
      <c r="V258" s="17" t="s">
        <v>23</v>
      </c>
      <c r="W258" s="8" t="s">
        <v>12</v>
      </c>
      <c r="X258" s="17" t="s">
        <v>23</v>
      </c>
      <c r="Y258" s="8"/>
      <c r="AA258" s="8"/>
      <c r="AC258" s="8"/>
      <c r="AE258" s="8"/>
    </row>
    <row r="259" spans="2:31" x14ac:dyDescent="0.4">
      <c r="B259" s="16">
        <v>44507</v>
      </c>
      <c r="C259" s="15">
        <v>0.68194444444444446</v>
      </c>
      <c r="D259" s="21">
        <f t="shared" si="14"/>
        <v>44507.681944444441</v>
      </c>
      <c r="E259" s="25">
        <v>257</v>
      </c>
      <c r="F259" s="1">
        <v>11</v>
      </c>
      <c r="G259" s="1">
        <f>VLOOKUP(F259,監督フォーメーション!$A$2:$C$15,3,FALSE)</f>
        <v>4213</v>
      </c>
      <c r="H259" s="1">
        <v>1431</v>
      </c>
      <c r="I259" s="1">
        <v>1292</v>
      </c>
      <c r="J259" s="1">
        <v>4312</v>
      </c>
      <c r="K259" s="9" t="s">
        <v>13</v>
      </c>
      <c r="L259" s="1" t="s">
        <v>13</v>
      </c>
      <c r="M259" s="9" t="s">
        <v>13</v>
      </c>
      <c r="N259" s="1">
        <f t="shared" si="12"/>
        <v>1</v>
      </c>
      <c r="O259" s="1">
        <f t="shared" si="13"/>
        <v>0</v>
      </c>
      <c r="P259" s="1" t="str">
        <f t="shared" ref="P259:P261" si="15">IF(N259-O259&gt;0,"勝",IF(N259-O259&lt;0,"負","引"))</f>
        <v>勝</v>
      </c>
      <c r="Q259" s="1" t="s">
        <v>42</v>
      </c>
      <c r="R259" s="17" t="s">
        <v>23</v>
      </c>
      <c r="S259" s="8"/>
      <c r="U259" s="8"/>
      <c r="W259" s="8"/>
      <c r="Y259" s="8"/>
      <c r="AA259" s="8"/>
      <c r="AC259" s="8"/>
      <c r="AE259" s="8"/>
    </row>
    <row r="260" spans="2:31" x14ac:dyDescent="0.4">
      <c r="B260" s="16">
        <v>44507</v>
      </c>
      <c r="C260" s="15">
        <v>0.68680555555555556</v>
      </c>
      <c r="D260" s="21">
        <f t="shared" si="14"/>
        <v>44507.686805555553</v>
      </c>
      <c r="E260" s="25">
        <v>258</v>
      </c>
      <c r="F260" s="1">
        <v>11</v>
      </c>
      <c r="G260" s="1">
        <f>VLOOKUP(F260,監督フォーメーション!$A$2:$C$15,3,FALSE)</f>
        <v>4213</v>
      </c>
      <c r="H260" s="1">
        <v>1438</v>
      </c>
      <c r="I260" s="1">
        <v>1518</v>
      </c>
      <c r="J260" s="1">
        <v>343</v>
      </c>
      <c r="K260" s="9">
        <v>0.51</v>
      </c>
      <c r="L260" s="1">
        <v>4</v>
      </c>
      <c r="M260" s="9">
        <v>0.85</v>
      </c>
      <c r="N260" s="1">
        <f t="shared" si="12"/>
        <v>1</v>
      </c>
      <c r="O260" s="1">
        <f t="shared" si="13"/>
        <v>0</v>
      </c>
      <c r="P260" s="1" t="str">
        <f t="shared" si="15"/>
        <v>勝</v>
      </c>
      <c r="Q260" s="1" t="s">
        <v>63</v>
      </c>
      <c r="R260" s="17" t="s">
        <v>23</v>
      </c>
      <c r="S260" s="8"/>
      <c r="U260" s="8"/>
      <c r="W260" s="8"/>
      <c r="Y260" s="8"/>
      <c r="AA260" s="8"/>
      <c r="AC260" s="8"/>
      <c r="AE260" s="8"/>
    </row>
    <row r="261" spans="2:31" x14ac:dyDescent="0.4">
      <c r="B261" s="16">
        <v>44507</v>
      </c>
      <c r="C261" s="15">
        <v>0.69374999999999998</v>
      </c>
      <c r="D261" s="21">
        <f t="shared" si="14"/>
        <v>44507.693749999999</v>
      </c>
      <c r="E261" s="25">
        <v>259</v>
      </c>
      <c r="F261" s="1">
        <v>11</v>
      </c>
      <c r="G261" s="1">
        <f>VLOOKUP(F261,監督フォーメーション!$A$2:$C$15,3,FALSE)</f>
        <v>4213</v>
      </c>
      <c r="H261" s="1">
        <v>1348</v>
      </c>
      <c r="I261" s="1" t="s">
        <v>120</v>
      </c>
      <c r="J261" s="1">
        <v>4312</v>
      </c>
      <c r="K261" s="9">
        <v>0.5</v>
      </c>
      <c r="L261" s="1">
        <v>3</v>
      </c>
      <c r="M261" s="9">
        <v>0.84</v>
      </c>
      <c r="N261" s="1">
        <f t="shared" si="12"/>
        <v>0</v>
      </c>
      <c r="O261" s="1">
        <f t="shared" si="13"/>
        <v>1</v>
      </c>
      <c r="P261" s="1" t="str">
        <f t="shared" si="15"/>
        <v>負</v>
      </c>
      <c r="Q261" s="1" t="s">
        <v>12</v>
      </c>
      <c r="R261" s="17" t="s">
        <v>23</v>
      </c>
      <c r="S261" s="8"/>
      <c r="U261" s="8"/>
      <c r="W261" s="8"/>
      <c r="Y261" s="8"/>
      <c r="AA261" s="8"/>
      <c r="AC261" s="8"/>
      <c r="AE261" s="8"/>
    </row>
    <row r="262" spans="2:31" x14ac:dyDescent="0.4">
      <c r="B262" s="16">
        <v>44513</v>
      </c>
      <c r="C262" s="15">
        <v>0.39513888888888887</v>
      </c>
      <c r="D262" s="21">
        <f t="shared" si="14"/>
        <v>44513.395138888889</v>
      </c>
      <c r="E262" s="25">
        <v>260</v>
      </c>
      <c r="F262" s="1">
        <v>11</v>
      </c>
      <c r="G262" s="1">
        <f>VLOOKUP(F262,監督フォーメーション!$A$2:$C$15,3,FALSE)</f>
        <v>4213</v>
      </c>
      <c r="H262" s="1">
        <v>1346</v>
      </c>
      <c r="I262" s="1">
        <v>1195</v>
      </c>
      <c r="J262" s="1">
        <v>4312</v>
      </c>
      <c r="K262" s="9">
        <v>0.49</v>
      </c>
      <c r="L262" s="1">
        <v>5</v>
      </c>
      <c r="M262" s="9">
        <v>0.83</v>
      </c>
      <c r="N262" s="1">
        <f t="shared" si="12"/>
        <v>4</v>
      </c>
      <c r="O262" s="1">
        <f t="shared" si="13"/>
        <v>1</v>
      </c>
      <c r="P262" s="1" t="str">
        <f t="shared" ref="P262:P322" si="16">IF(N262-O262&gt;0,"勝",IF(N262-O262&lt;0,"負","引"))</f>
        <v>勝</v>
      </c>
      <c r="Q262" s="1" t="s">
        <v>41</v>
      </c>
      <c r="R262" s="17" t="s">
        <v>44</v>
      </c>
      <c r="S262" s="8" t="s">
        <v>42</v>
      </c>
      <c r="T262" s="17" t="s">
        <v>44</v>
      </c>
      <c r="U262" s="8" t="s">
        <v>41</v>
      </c>
      <c r="V262" s="17" t="s">
        <v>59</v>
      </c>
      <c r="W262" s="8" t="s">
        <v>41</v>
      </c>
      <c r="X262" s="17" t="s">
        <v>43</v>
      </c>
      <c r="Y262" s="8" t="s">
        <v>12</v>
      </c>
      <c r="Z262" s="17" t="s">
        <v>23</v>
      </c>
      <c r="AA262" s="8"/>
      <c r="AC262" s="8"/>
      <c r="AE262" s="8"/>
    </row>
    <row r="263" spans="2:31" x14ac:dyDescent="0.4">
      <c r="B263" s="16">
        <v>44513</v>
      </c>
      <c r="C263" s="15">
        <v>0.40347222222222223</v>
      </c>
      <c r="D263" s="21">
        <f t="shared" si="14"/>
        <v>44513.40347222222</v>
      </c>
      <c r="E263" s="25">
        <v>261</v>
      </c>
      <c r="F263" s="1">
        <v>11</v>
      </c>
      <c r="G263" s="1">
        <f>VLOOKUP(F263,監督フォーメーション!$A$2:$C$15,3,FALSE)</f>
        <v>4213</v>
      </c>
      <c r="H263" s="1">
        <v>1353</v>
      </c>
      <c r="I263" s="1">
        <v>1097</v>
      </c>
      <c r="J263" s="1">
        <v>4213</v>
      </c>
      <c r="K263" s="9">
        <v>0.6</v>
      </c>
      <c r="L263" s="1">
        <v>5</v>
      </c>
      <c r="M263" s="9">
        <v>0.89</v>
      </c>
      <c r="N263" s="1">
        <f t="shared" si="12"/>
        <v>2</v>
      </c>
      <c r="O263" s="1">
        <f t="shared" si="13"/>
        <v>2</v>
      </c>
      <c r="P263" s="1" t="str">
        <f t="shared" si="16"/>
        <v>引</v>
      </c>
      <c r="Q263" s="1" t="s">
        <v>12</v>
      </c>
      <c r="R263" s="17" t="s">
        <v>23</v>
      </c>
      <c r="S263" s="8" t="s">
        <v>12</v>
      </c>
      <c r="T263" s="17" t="s">
        <v>23</v>
      </c>
      <c r="U263" s="8" t="s">
        <v>42</v>
      </c>
      <c r="V263" s="17" t="s">
        <v>63</v>
      </c>
      <c r="W263" s="8" t="s">
        <v>111</v>
      </c>
      <c r="X263" s="17" t="s">
        <v>23</v>
      </c>
      <c r="Y263" s="8"/>
      <c r="AA263" s="8"/>
      <c r="AC263" s="8"/>
      <c r="AE263" s="8"/>
    </row>
    <row r="264" spans="2:31" x14ac:dyDescent="0.4">
      <c r="B264" s="16">
        <v>44513</v>
      </c>
      <c r="C264" s="15">
        <v>0.41250000000000003</v>
      </c>
      <c r="D264" s="21">
        <f t="shared" si="14"/>
        <v>44513.412499999999</v>
      </c>
      <c r="E264" s="25">
        <v>262</v>
      </c>
      <c r="F264" s="1">
        <v>11</v>
      </c>
      <c r="G264" s="1">
        <f>VLOOKUP(F264,監督フォーメーション!$A$2:$C$15,3,FALSE)</f>
        <v>4213</v>
      </c>
      <c r="H264" s="1">
        <v>1347</v>
      </c>
      <c r="I264" s="1">
        <v>1585</v>
      </c>
      <c r="J264" s="1">
        <v>4312</v>
      </c>
      <c r="K264" s="9">
        <v>0.53</v>
      </c>
      <c r="L264" s="1">
        <v>2</v>
      </c>
      <c r="M264" s="9">
        <v>0.82</v>
      </c>
      <c r="N264" s="1">
        <f t="shared" si="12"/>
        <v>1</v>
      </c>
      <c r="O264" s="1">
        <f t="shared" si="13"/>
        <v>2</v>
      </c>
      <c r="P264" s="1" t="str">
        <f t="shared" si="16"/>
        <v>負</v>
      </c>
      <c r="Q264" s="1" t="s">
        <v>63</v>
      </c>
      <c r="R264" s="17" t="s">
        <v>12</v>
      </c>
      <c r="S264" s="8" t="s">
        <v>23</v>
      </c>
      <c r="T264" s="17" t="s">
        <v>12</v>
      </c>
      <c r="U264" s="8" t="s">
        <v>23</v>
      </c>
      <c r="W264" s="8"/>
      <c r="Y264" s="8"/>
      <c r="AA264" s="8"/>
      <c r="AC264" s="8"/>
      <c r="AE264" s="8"/>
    </row>
    <row r="265" spans="2:31" x14ac:dyDescent="0.4">
      <c r="B265" s="16">
        <v>44513</v>
      </c>
      <c r="C265" s="15">
        <v>0.4201388888888889</v>
      </c>
      <c r="D265" s="21">
        <f t="shared" si="14"/>
        <v>44513.420138888891</v>
      </c>
      <c r="E265" s="25">
        <v>263</v>
      </c>
      <c r="F265" s="1">
        <v>11</v>
      </c>
      <c r="G265" s="1">
        <f>VLOOKUP(F265,監督フォーメーション!$A$2:$C$15,3,FALSE)</f>
        <v>4213</v>
      </c>
      <c r="H265" s="1">
        <v>1331</v>
      </c>
      <c r="J265" s="1">
        <v>4312</v>
      </c>
      <c r="K265" s="9">
        <v>0.62</v>
      </c>
      <c r="L265" s="1">
        <v>6</v>
      </c>
      <c r="M265" s="9">
        <v>0.81</v>
      </c>
      <c r="N265" s="1">
        <f t="shared" si="12"/>
        <v>4</v>
      </c>
      <c r="O265" s="1">
        <f t="shared" si="13"/>
        <v>1</v>
      </c>
      <c r="P265" s="1" t="str">
        <f t="shared" si="16"/>
        <v>勝</v>
      </c>
      <c r="Q265" s="1" t="s">
        <v>47</v>
      </c>
      <c r="R265" s="17" t="s">
        <v>23</v>
      </c>
      <c r="S265" s="8" t="s">
        <v>54</v>
      </c>
      <c r="T265" s="17" t="s">
        <v>47</v>
      </c>
      <c r="U265" s="8" t="s">
        <v>54</v>
      </c>
      <c r="V265" s="17" t="s">
        <v>23</v>
      </c>
      <c r="W265" s="8" t="s">
        <v>12</v>
      </c>
      <c r="X265" s="17" t="s">
        <v>23</v>
      </c>
      <c r="Y265" s="8" t="s">
        <v>42</v>
      </c>
      <c r="Z265" s="17" t="s">
        <v>43</v>
      </c>
      <c r="AA265" s="8"/>
      <c r="AC265" s="8"/>
      <c r="AE265" s="8"/>
    </row>
    <row r="266" spans="2:31" x14ac:dyDescent="0.4">
      <c r="B266" s="16">
        <v>44513</v>
      </c>
      <c r="C266" s="15">
        <v>0.45902777777777781</v>
      </c>
      <c r="D266" s="21">
        <f t="shared" si="14"/>
        <v>44513.459027777775</v>
      </c>
      <c r="E266" s="25">
        <v>264</v>
      </c>
      <c r="F266" s="1">
        <v>11</v>
      </c>
      <c r="G266" s="1">
        <f>VLOOKUP(F266,監督フォーメーション!$A$2:$C$15,3,FALSE)</f>
        <v>4213</v>
      </c>
      <c r="H266" s="1">
        <v>1367</v>
      </c>
      <c r="I266" s="1">
        <v>1335</v>
      </c>
      <c r="J266" s="1">
        <v>532</v>
      </c>
      <c r="K266" s="9" t="s">
        <v>13</v>
      </c>
      <c r="L266" s="1" t="s">
        <v>13</v>
      </c>
      <c r="M266" s="9" t="s">
        <v>13</v>
      </c>
      <c r="N266" s="1">
        <f t="shared" si="12"/>
        <v>3</v>
      </c>
      <c r="O266" s="1">
        <f t="shared" si="13"/>
        <v>0</v>
      </c>
      <c r="P266" s="1" t="str">
        <f t="shared" si="16"/>
        <v>勝</v>
      </c>
      <c r="Q266" s="1" t="s">
        <v>42</v>
      </c>
      <c r="R266" s="17" t="s">
        <v>44</v>
      </c>
      <c r="S266" s="8" t="s">
        <v>41</v>
      </c>
      <c r="T266" s="17" t="s">
        <v>23</v>
      </c>
      <c r="U266" s="8" t="s">
        <v>63</v>
      </c>
      <c r="V266" s="17" t="s">
        <v>23</v>
      </c>
      <c r="W266" s="8"/>
      <c r="Y266" s="8"/>
      <c r="AA266" s="8"/>
      <c r="AC266" s="8"/>
      <c r="AE266" s="8"/>
    </row>
    <row r="267" spans="2:31" x14ac:dyDescent="0.4">
      <c r="B267" s="16">
        <v>44513</v>
      </c>
      <c r="C267" s="15">
        <v>0.46249999999999997</v>
      </c>
      <c r="D267" s="21">
        <f t="shared" si="14"/>
        <v>44513.462500000001</v>
      </c>
      <c r="E267" s="25">
        <v>265</v>
      </c>
      <c r="F267" s="1">
        <v>11</v>
      </c>
      <c r="G267" s="1">
        <f>VLOOKUP(F267,監督フォーメーション!$A$2:$C$15,3,FALSE)</f>
        <v>4213</v>
      </c>
      <c r="H267" s="1">
        <v>1377</v>
      </c>
      <c r="I267" s="1">
        <v>1246</v>
      </c>
      <c r="J267" s="1">
        <v>532</v>
      </c>
      <c r="K267" s="9">
        <v>0.54</v>
      </c>
      <c r="L267" s="1">
        <v>5</v>
      </c>
      <c r="M267" s="9">
        <v>0.83</v>
      </c>
      <c r="N267" s="1">
        <f t="shared" si="12"/>
        <v>4</v>
      </c>
      <c r="O267" s="1">
        <f t="shared" si="13"/>
        <v>2</v>
      </c>
      <c r="P267" s="1" t="str">
        <f t="shared" si="16"/>
        <v>勝</v>
      </c>
      <c r="Q267" s="1" t="s">
        <v>42</v>
      </c>
      <c r="R267" s="17" t="s">
        <v>23</v>
      </c>
      <c r="S267" s="8" t="s">
        <v>63</v>
      </c>
      <c r="T267" s="17" t="s">
        <v>41</v>
      </c>
      <c r="U267" s="8" t="s">
        <v>47</v>
      </c>
      <c r="V267" s="17" t="s">
        <v>42</v>
      </c>
      <c r="W267" s="8" t="s">
        <v>12</v>
      </c>
      <c r="X267" s="17" t="s">
        <v>23</v>
      </c>
      <c r="Y267" s="8" t="s">
        <v>12</v>
      </c>
      <c r="Z267" s="17" t="s">
        <v>23</v>
      </c>
      <c r="AA267" s="8" t="s">
        <v>41</v>
      </c>
      <c r="AB267" s="17" t="s">
        <v>23</v>
      </c>
      <c r="AC267" s="8"/>
      <c r="AE267" s="8"/>
    </row>
    <row r="268" spans="2:31" x14ac:dyDescent="0.4">
      <c r="B268" s="16">
        <v>44513</v>
      </c>
      <c r="C268" s="15">
        <v>0.46319444444444446</v>
      </c>
      <c r="D268" s="21">
        <f t="shared" si="14"/>
        <v>44513.463194444441</v>
      </c>
      <c r="E268" s="25">
        <v>266</v>
      </c>
      <c r="F268" s="1">
        <v>11</v>
      </c>
      <c r="G268" s="1">
        <f>VLOOKUP(F268,監督フォーメーション!$A$2:$C$15,3,FALSE)</f>
        <v>4213</v>
      </c>
      <c r="H268" s="1">
        <v>1385</v>
      </c>
      <c r="J268" s="1">
        <v>4312</v>
      </c>
      <c r="K268" s="9" t="s">
        <v>13</v>
      </c>
      <c r="L268" s="1" t="s">
        <v>13</v>
      </c>
      <c r="M268" s="9" t="s">
        <v>13</v>
      </c>
      <c r="N268" s="1">
        <f t="shared" si="12"/>
        <v>6</v>
      </c>
      <c r="O268" s="1">
        <f t="shared" si="13"/>
        <v>1</v>
      </c>
      <c r="P268" s="1" t="str">
        <f t="shared" si="16"/>
        <v>勝</v>
      </c>
      <c r="Q268" s="1" t="s">
        <v>44</v>
      </c>
      <c r="R268" s="17" t="s">
        <v>47</v>
      </c>
      <c r="S268" s="8" t="s">
        <v>41</v>
      </c>
      <c r="T268" s="17" t="s">
        <v>23</v>
      </c>
      <c r="U268" s="8" t="s">
        <v>42</v>
      </c>
      <c r="V268" s="17" t="s">
        <v>23</v>
      </c>
      <c r="W268" s="8" t="s">
        <v>12</v>
      </c>
      <c r="X268" s="17" t="s">
        <v>23</v>
      </c>
      <c r="Y268" s="8" t="s">
        <v>44</v>
      </c>
      <c r="Z268" s="17" t="s">
        <v>47</v>
      </c>
      <c r="AA268" s="8" t="s">
        <v>44</v>
      </c>
      <c r="AB268" s="17" t="s">
        <v>41</v>
      </c>
      <c r="AC268" s="8" t="s">
        <v>41</v>
      </c>
      <c r="AD268" s="17" t="s">
        <v>23</v>
      </c>
      <c r="AE268" s="8"/>
    </row>
    <row r="269" spans="2:31" x14ac:dyDescent="0.4">
      <c r="B269" s="16">
        <v>44513</v>
      </c>
      <c r="C269" s="15">
        <v>0.47847222222222219</v>
      </c>
      <c r="D269" s="21">
        <f t="shared" si="14"/>
        <v>44513.478472222225</v>
      </c>
      <c r="E269" s="25">
        <v>267</v>
      </c>
      <c r="F269" s="1">
        <v>11</v>
      </c>
      <c r="G269" s="1">
        <f>VLOOKUP(F269,監督フォーメーション!$A$2:$C$15,3,FALSE)</f>
        <v>4213</v>
      </c>
      <c r="H269" s="1">
        <v>1398</v>
      </c>
      <c r="I269" s="1">
        <v>1321</v>
      </c>
      <c r="J269" s="1">
        <v>4312</v>
      </c>
      <c r="K269" s="9">
        <v>0.57999999999999996</v>
      </c>
      <c r="L269" s="1">
        <v>7</v>
      </c>
      <c r="M269" s="9">
        <v>0.84</v>
      </c>
      <c r="N269" s="1">
        <f t="shared" si="12"/>
        <v>2</v>
      </c>
      <c r="O269" s="1">
        <f t="shared" si="13"/>
        <v>1</v>
      </c>
      <c r="P269" s="1" t="str">
        <f t="shared" si="16"/>
        <v>勝</v>
      </c>
      <c r="Q269" s="1" t="s">
        <v>44</v>
      </c>
      <c r="R269" s="17" t="s">
        <v>42</v>
      </c>
      <c r="S269" s="8" t="s">
        <v>44</v>
      </c>
      <c r="T269" s="17" t="s">
        <v>47</v>
      </c>
      <c r="U269" s="8" t="s">
        <v>12</v>
      </c>
      <c r="V269" s="17" t="s">
        <v>23</v>
      </c>
      <c r="W269" s="8"/>
      <c r="Y269" s="8"/>
      <c r="AA269" s="8"/>
      <c r="AC269" s="8"/>
      <c r="AE269" s="8"/>
    </row>
    <row r="270" spans="2:31" x14ac:dyDescent="0.4">
      <c r="B270" s="16">
        <v>44513</v>
      </c>
      <c r="C270" s="15">
        <v>0.4861111111111111</v>
      </c>
      <c r="D270" s="21">
        <f t="shared" si="14"/>
        <v>44513.486111111109</v>
      </c>
      <c r="E270" s="25">
        <v>268</v>
      </c>
      <c r="F270" s="1">
        <v>11</v>
      </c>
      <c r="G270" s="1">
        <f>VLOOKUP(F270,監督フォーメーション!$A$2:$C$15,3,FALSE)</f>
        <v>4213</v>
      </c>
      <c r="H270" s="1">
        <v>1419</v>
      </c>
      <c r="I270" s="1">
        <v>1225</v>
      </c>
      <c r="J270" s="1">
        <v>3232</v>
      </c>
      <c r="K270" s="9" t="s">
        <v>13</v>
      </c>
      <c r="L270" s="1" t="s">
        <v>13</v>
      </c>
      <c r="M270" s="9" t="s">
        <v>13</v>
      </c>
      <c r="N270" s="1">
        <f t="shared" si="12"/>
        <v>3</v>
      </c>
      <c r="O270" s="1">
        <f t="shared" si="13"/>
        <v>0</v>
      </c>
      <c r="P270" s="1" t="str">
        <f t="shared" si="16"/>
        <v>勝</v>
      </c>
      <c r="Q270" s="1" t="s">
        <v>44</v>
      </c>
      <c r="R270" s="17" t="s">
        <v>23</v>
      </c>
      <c r="S270" s="8" t="s">
        <v>44</v>
      </c>
      <c r="T270" s="17" t="s">
        <v>43</v>
      </c>
      <c r="U270" s="8" t="s">
        <v>41</v>
      </c>
      <c r="V270" s="17" t="s">
        <v>44</v>
      </c>
      <c r="W270" s="8"/>
      <c r="Y270" s="8"/>
      <c r="AA270" s="8"/>
      <c r="AC270" s="8"/>
      <c r="AE270" s="8"/>
    </row>
    <row r="271" spans="2:31" x14ac:dyDescent="0.4">
      <c r="B271" s="16">
        <v>44523</v>
      </c>
      <c r="C271" s="15">
        <v>0.73125000000000007</v>
      </c>
      <c r="D271" s="21">
        <f t="shared" si="14"/>
        <v>44523.731249999997</v>
      </c>
      <c r="E271" s="25">
        <v>269</v>
      </c>
      <c r="F271" s="1">
        <v>11</v>
      </c>
      <c r="G271" s="1">
        <f>VLOOKUP(F271,監督フォーメーション!$A$2:$C$15,3,FALSE)</f>
        <v>4213</v>
      </c>
      <c r="H271" s="1">
        <v>1425</v>
      </c>
      <c r="J271" s="1">
        <v>3232</v>
      </c>
      <c r="K271" s="9">
        <v>0.51</v>
      </c>
      <c r="L271" s="1">
        <v>1</v>
      </c>
      <c r="M271" s="9">
        <v>0.81</v>
      </c>
      <c r="N271" s="1">
        <f t="shared" si="12"/>
        <v>0</v>
      </c>
      <c r="O271" s="1">
        <f t="shared" si="13"/>
        <v>1</v>
      </c>
      <c r="P271" s="1" t="str">
        <f t="shared" si="16"/>
        <v>負</v>
      </c>
      <c r="Q271" s="1" t="s">
        <v>12</v>
      </c>
      <c r="R271" s="17" t="s">
        <v>23</v>
      </c>
      <c r="S271" s="8"/>
      <c r="U271" s="8"/>
      <c r="W271" s="8"/>
      <c r="Y271" s="8"/>
      <c r="AA271" s="8"/>
      <c r="AC271" s="8"/>
      <c r="AE271" s="8"/>
    </row>
    <row r="272" spans="2:31" x14ac:dyDescent="0.4">
      <c r="B272" s="16">
        <v>44523</v>
      </c>
      <c r="C272" s="15">
        <v>0.73125000000000007</v>
      </c>
      <c r="D272" s="21">
        <f t="shared" si="14"/>
        <v>44523.731249999997</v>
      </c>
      <c r="E272" s="25">
        <v>270</v>
      </c>
      <c r="F272" s="1">
        <v>11</v>
      </c>
      <c r="G272" s="1">
        <f>VLOOKUP(F272,監督フォーメーション!$A$2:$C$15,3,FALSE)</f>
        <v>4213</v>
      </c>
      <c r="H272" s="1">
        <v>1422</v>
      </c>
      <c r="I272" s="1">
        <v>1183</v>
      </c>
      <c r="J272" s="1">
        <v>4213</v>
      </c>
      <c r="K272" s="9" t="s">
        <v>13</v>
      </c>
      <c r="L272" s="1" t="s">
        <v>13</v>
      </c>
      <c r="M272" s="9" t="s">
        <v>13</v>
      </c>
      <c r="N272" s="1">
        <f t="shared" ref="N272:N335" si="17">COUNTA(Q272,S272,U272,W272,Y272,AA272,AC272,AE272,AG272)-O272</f>
        <v>3</v>
      </c>
      <c r="O272" s="1">
        <f t="shared" si="13"/>
        <v>0</v>
      </c>
      <c r="P272" s="1" t="str">
        <f t="shared" si="16"/>
        <v>勝</v>
      </c>
      <c r="Q272" s="1" t="s">
        <v>46</v>
      </c>
      <c r="R272" s="17" t="s">
        <v>41</v>
      </c>
      <c r="S272" s="8" t="s">
        <v>44</v>
      </c>
      <c r="T272" s="17" t="s">
        <v>23</v>
      </c>
      <c r="U272" s="8" t="s">
        <v>42</v>
      </c>
      <c r="V272" s="17" t="s">
        <v>43</v>
      </c>
      <c r="W272" s="8"/>
      <c r="Y272" s="8"/>
      <c r="AA272" s="8"/>
      <c r="AC272" s="8"/>
      <c r="AE272" s="8"/>
    </row>
    <row r="273" spans="2:31" x14ac:dyDescent="0.4">
      <c r="B273" s="16">
        <v>44523</v>
      </c>
      <c r="C273" s="15">
        <v>0.73749999999999993</v>
      </c>
      <c r="D273" s="21">
        <f t="shared" si="14"/>
        <v>44523.737500000003</v>
      </c>
      <c r="E273" s="25">
        <v>271</v>
      </c>
      <c r="F273" s="1">
        <v>11</v>
      </c>
      <c r="G273" s="1">
        <f>VLOOKUP(F273,監督フォーメーション!$A$2:$C$15,3,FALSE)</f>
        <v>4213</v>
      </c>
      <c r="H273" s="1">
        <v>1427</v>
      </c>
      <c r="I273" s="1">
        <v>1394</v>
      </c>
      <c r="J273" s="1">
        <v>4222</v>
      </c>
      <c r="K273" s="9" t="s">
        <v>13</v>
      </c>
      <c r="L273" s="1" t="s">
        <v>13</v>
      </c>
      <c r="M273" s="9" t="s">
        <v>13</v>
      </c>
      <c r="N273" s="1">
        <f t="shared" si="17"/>
        <v>1</v>
      </c>
      <c r="O273" s="1">
        <f t="shared" si="13"/>
        <v>0</v>
      </c>
      <c r="P273" s="1" t="str">
        <f t="shared" si="16"/>
        <v>勝</v>
      </c>
      <c r="Q273" s="1" t="s">
        <v>42</v>
      </c>
      <c r="R273" s="17" t="s">
        <v>44</v>
      </c>
      <c r="S273" s="8"/>
      <c r="U273" s="8"/>
      <c r="W273" s="8"/>
      <c r="Y273" s="8"/>
      <c r="AA273" s="8"/>
      <c r="AC273" s="8"/>
      <c r="AE273" s="8"/>
    </row>
    <row r="274" spans="2:31" x14ac:dyDescent="0.4">
      <c r="B274" s="16">
        <v>44523</v>
      </c>
      <c r="C274" s="15">
        <v>0.74097222222222225</v>
      </c>
      <c r="D274" s="21">
        <f t="shared" si="14"/>
        <v>44523.740972222222</v>
      </c>
      <c r="E274" s="25">
        <v>272</v>
      </c>
      <c r="F274" s="1">
        <v>11</v>
      </c>
      <c r="G274" s="1">
        <f>VLOOKUP(F274,監督フォーメーション!$A$2:$C$15,3,FALSE)</f>
        <v>4213</v>
      </c>
      <c r="H274" s="1">
        <v>1437</v>
      </c>
      <c r="I274" s="1">
        <v>1388</v>
      </c>
      <c r="J274" s="1">
        <v>4222</v>
      </c>
      <c r="K274" s="9">
        <v>0.63</v>
      </c>
      <c r="L274" s="1">
        <v>5</v>
      </c>
      <c r="M274" s="9">
        <v>0.81</v>
      </c>
      <c r="N274" s="1">
        <f t="shared" si="17"/>
        <v>1</v>
      </c>
      <c r="O274" s="1">
        <f t="shared" si="13"/>
        <v>1</v>
      </c>
      <c r="P274" s="1" t="str">
        <f t="shared" si="16"/>
        <v>引</v>
      </c>
      <c r="Q274" s="1" t="s">
        <v>12</v>
      </c>
      <c r="R274" s="17" t="s">
        <v>23</v>
      </c>
      <c r="S274" s="8" t="s">
        <v>54</v>
      </c>
      <c r="T274" s="17" t="s">
        <v>23</v>
      </c>
      <c r="U274" s="8"/>
      <c r="W274" s="8"/>
      <c r="Y274" s="8"/>
      <c r="AA274" s="8"/>
      <c r="AC274" s="8"/>
      <c r="AE274" s="8"/>
    </row>
    <row r="275" spans="2:31" x14ac:dyDescent="0.4">
      <c r="B275" s="16">
        <v>44523</v>
      </c>
      <c r="C275" s="15">
        <v>0.74861111111111101</v>
      </c>
      <c r="D275" s="21">
        <f t="shared" si="14"/>
        <v>44523.748611111114</v>
      </c>
      <c r="E275" s="25">
        <v>273</v>
      </c>
      <c r="F275" s="1">
        <v>11</v>
      </c>
      <c r="G275" s="1">
        <f>VLOOKUP(F275,監督フォーメーション!$A$2:$C$15,3,FALSE)</f>
        <v>4213</v>
      </c>
      <c r="H275" s="1">
        <v>1443</v>
      </c>
      <c r="J275" s="1">
        <v>4312</v>
      </c>
      <c r="K275" s="9"/>
      <c r="M275" s="9"/>
      <c r="N275" s="1">
        <f t="shared" si="17"/>
        <v>1</v>
      </c>
      <c r="O275" s="1">
        <f t="shared" si="13"/>
        <v>2</v>
      </c>
      <c r="P275" s="1" t="str">
        <f t="shared" si="16"/>
        <v>負</v>
      </c>
      <c r="Q275" s="1" t="s">
        <v>12</v>
      </c>
      <c r="R275" s="17" t="s">
        <v>23</v>
      </c>
      <c r="S275" s="8" t="s">
        <v>12</v>
      </c>
      <c r="T275" s="17" t="s">
        <v>23</v>
      </c>
      <c r="U275" s="8" t="s">
        <v>42</v>
      </c>
      <c r="W275" s="8"/>
      <c r="Y275" s="8"/>
      <c r="AA275" s="8"/>
      <c r="AC275" s="8"/>
      <c r="AE275" s="8"/>
    </row>
    <row r="276" spans="2:31" x14ac:dyDescent="0.4">
      <c r="B276" s="16">
        <v>44523</v>
      </c>
      <c r="C276" s="15">
        <v>0.75624999999999998</v>
      </c>
      <c r="D276" s="21">
        <f t="shared" si="14"/>
        <v>44523.756249999999</v>
      </c>
      <c r="E276" s="25">
        <v>274</v>
      </c>
      <c r="F276" s="1">
        <v>11</v>
      </c>
      <c r="G276" s="1">
        <f>VLOOKUP(F276,監督フォーメーション!$A$2:$C$15,3,FALSE)</f>
        <v>4213</v>
      </c>
      <c r="H276" s="1">
        <v>1431</v>
      </c>
      <c r="J276" s="1">
        <v>4312</v>
      </c>
      <c r="K276" s="9">
        <v>0.61</v>
      </c>
      <c r="L276" s="1">
        <v>5</v>
      </c>
      <c r="M276" s="9">
        <v>0.78</v>
      </c>
      <c r="N276" s="1">
        <f t="shared" si="17"/>
        <v>1</v>
      </c>
      <c r="O276" s="1">
        <f t="shared" si="13"/>
        <v>1</v>
      </c>
      <c r="P276" s="1" t="str">
        <f t="shared" si="16"/>
        <v>引</v>
      </c>
      <c r="Q276" s="1" t="s">
        <v>12</v>
      </c>
      <c r="R276" s="17" t="s">
        <v>23</v>
      </c>
      <c r="S276" s="8" t="s">
        <v>42</v>
      </c>
      <c r="T276" s="17" t="s">
        <v>41</v>
      </c>
      <c r="U276" s="8"/>
      <c r="W276" s="8"/>
      <c r="Y276" s="8"/>
      <c r="AA276" s="8"/>
      <c r="AC276" s="8"/>
      <c r="AE276" s="8"/>
    </row>
    <row r="277" spans="2:31" x14ac:dyDescent="0.4">
      <c r="B277" s="16">
        <v>44523</v>
      </c>
      <c r="C277" s="15">
        <v>0.76388888888888884</v>
      </c>
      <c r="D277" s="21">
        <f t="shared" si="14"/>
        <v>44523.763888888891</v>
      </c>
      <c r="E277" s="25">
        <v>275</v>
      </c>
      <c r="F277" s="1">
        <v>11</v>
      </c>
      <c r="G277" s="1">
        <f>VLOOKUP(F277,監督フォーメーション!$A$2:$C$15,3,FALSE)</f>
        <v>4213</v>
      </c>
      <c r="H277" s="1">
        <v>1451</v>
      </c>
      <c r="J277" s="1">
        <v>3412</v>
      </c>
      <c r="K277" s="9">
        <v>0.43</v>
      </c>
      <c r="L277" s="1">
        <v>5</v>
      </c>
      <c r="M277" s="9">
        <v>0.74</v>
      </c>
      <c r="N277" s="1">
        <f t="shared" si="17"/>
        <v>2</v>
      </c>
      <c r="O277" s="1">
        <f t="shared" si="13"/>
        <v>3</v>
      </c>
      <c r="P277" s="1" t="str">
        <f t="shared" si="16"/>
        <v>負</v>
      </c>
      <c r="Q277" s="1" t="s">
        <v>12</v>
      </c>
      <c r="R277" s="17" t="s">
        <v>23</v>
      </c>
      <c r="S277" s="8" t="s">
        <v>12</v>
      </c>
      <c r="T277" s="17" t="s">
        <v>23</v>
      </c>
      <c r="U277" s="8" t="s">
        <v>42</v>
      </c>
      <c r="V277" s="17" t="s">
        <v>43</v>
      </c>
      <c r="W277" s="8" t="s">
        <v>12</v>
      </c>
      <c r="X277" s="17" t="s">
        <v>23</v>
      </c>
      <c r="Y277" s="8" t="s">
        <v>54</v>
      </c>
      <c r="Z277" s="17" t="s">
        <v>59</v>
      </c>
      <c r="AA277" s="8"/>
      <c r="AC277" s="8"/>
      <c r="AE277" s="8"/>
    </row>
    <row r="278" spans="2:31" x14ac:dyDescent="0.4">
      <c r="B278" s="16">
        <v>44527</v>
      </c>
      <c r="C278" s="15">
        <v>0.40833333333333338</v>
      </c>
      <c r="D278" s="21">
        <f t="shared" si="14"/>
        <v>44527.408333333333</v>
      </c>
      <c r="E278" s="25">
        <v>276</v>
      </c>
      <c r="F278" s="1">
        <v>11</v>
      </c>
      <c r="G278" s="1">
        <f>VLOOKUP(F278,監督フォーメーション!$A$2:$C$15,3,FALSE)</f>
        <v>4213</v>
      </c>
      <c r="H278" s="1">
        <v>1446</v>
      </c>
      <c r="I278" s="1">
        <v>1493</v>
      </c>
      <c r="J278" s="1">
        <v>4312</v>
      </c>
      <c r="K278" s="9">
        <v>0.61</v>
      </c>
      <c r="L278" s="1">
        <v>4</v>
      </c>
      <c r="M278" s="9">
        <v>0.88</v>
      </c>
      <c r="N278" s="1">
        <f t="shared" si="17"/>
        <v>3</v>
      </c>
      <c r="O278" s="1">
        <f t="shared" si="13"/>
        <v>2</v>
      </c>
      <c r="P278" s="1" t="str">
        <f t="shared" si="16"/>
        <v>勝</v>
      </c>
      <c r="Q278" s="1" t="s">
        <v>12</v>
      </c>
      <c r="R278" s="17" t="s">
        <v>23</v>
      </c>
      <c r="S278" s="8" t="s">
        <v>42</v>
      </c>
      <c r="T278" s="17" t="s">
        <v>59</v>
      </c>
      <c r="U278" s="8" t="s">
        <v>12</v>
      </c>
      <c r="V278" s="17" t="s">
        <v>23</v>
      </c>
      <c r="W278" s="8" t="s">
        <v>42</v>
      </c>
      <c r="X278" s="17" t="s">
        <v>43</v>
      </c>
      <c r="Y278" s="8" t="s">
        <v>47</v>
      </c>
      <c r="Z278" s="17" t="s">
        <v>111</v>
      </c>
      <c r="AA278" s="8"/>
      <c r="AC278" s="8"/>
      <c r="AE278" s="8"/>
    </row>
    <row r="279" spans="2:31" x14ac:dyDescent="0.4">
      <c r="B279" s="16">
        <v>44527</v>
      </c>
      <c r="C279" s="15">
        <v>0.4604166666666667</v>
      </c>
      <c r="D279" s="21">
        <f t="shared" si="14"/>
        <v>44527.460416666669</v>
      </c>
      <c r="E279" s="25">
        <v>277</v>
      </c>
      <c r="F279" s="1">
        <v>11</v>
      </c>
      <c r="G279" s="1">
        <f>VLOOKUP(F279,監督フォーメーション!$A$2:$C$15,3,FALSE)</f>
        <v>4213</v>
      </c>
      <c r="H279" s="1">
        <v>1459</v>
      </c>
      <c r="J279" s="1">
        <v>4213</v>
      </c>
      <c r="K279" s="9" t="s">
        <v>13</v>
      </c>
      <c r="L279" s="1" t="s">
        <v>13</v>
      </c>
      <c r="M279" s="9" t="s">
        <v>13</v>
      </c>
      <c r="N279" s="1">
        <f t="shared" si="17"/>
        <v>2</v>
      </c>
      <c r="O279" s="1">
        <f t="shared" si="13"/>
        <v>0</v>
      </c>
      <c r="P279" s="1" t="str">
        <f t="shared" si="16"/>
        <v>勝</v>
      </c>
      <c r="Q279" s="1" t="s">
        <v>43</v>
      </c>
      <c r="R279" s="17" t="s">
        <v>42</v>
      </c>
      <c r="S279" s="8" t="s">
        <v>44</v>
      </c>
      <c r="T279" s="17" t="s">
        <v>23</v>
      </c>
      <c r="U279" s="8"/>
      <c r="W279" s="8"/>
      <c r="Y279" s="8"/>
      <c r="AA279" s="8"/>
      <c r="AC279" s="8"/>
      <c r="AE279" s="8"/>
    </row>
    <row r="280" spans="2:31" x14ac:dyDescent="0.4">
      <c r="B280" s="16">
        <v>44527</v>
      </c>
      <c r="C280" s="15">
        <v>0.46111111111111108</v>
      </c>
      <c r="D280" s="21">
        <f t="shared" si="14"/>
        <v>44527.461111111108</v>
      </c>
      <c r="E280" s="25">
        <v>278</v>
      </c>
      <c r="F280" s="1">
        <v>11</v>
      </c>
      <c r="G280" s="1">
        <f>VLOOKUP(F280,監督フォーメーション!$A$2:$C$15,3,FALSE)</f>
        <v>4213</v>
      </c>
      <c r="H280" s="1">
        <v>1446</v>
      </c>
      <c r="I280" s="1">
        <v>1304</v>
      </c>
      <c r="J280" s="1">
        <v>5212</v>
      </c>
      <c r="K280" s="9">
        <v>0.56999999999999995</v>
      </c>
      <c r="L280" s="1">
        <v>3</v>
      </c>
      <c r="M280" s="9">
        <v>0.8</v>
      </c>
      <c r="N280" s="1">
        <f t="shared" si="17"/>
        <v>2</v>
      </c>
      <c r="O280" s="1">
        <f t="shared" si="13"/>
        <v>1</v>
      </c>
      <c r="P280" s="1" t="str">
        <f t="shared" si="16"/>
        <v>勝</v>
      </c>
      <c r="Q280" s="8" t="s">
        <v>44</v>
      </c>
      <c r="R280" s="17" t="s">
        <v>42</v>
      </c>
      <c r="S280" s="8" t="s">
        <v>43</v>
      </c>
      <c r="T280" s="17" t="s">
        <v>41</v>
      </c>
      <c r="U280" s="8" t="s">
        <v>12</v>
      </c>
      <c r="V280" s="17" t="s">
        <v>23</v>
      </c>
      <c r="W280" s="8"/>
      <c r="Y280" s="8"/>
      <c r="AA280" s="8"/>
      <c r="AC280" s="8"/>
      <c r="AE280" s="8"/>
    </row>
    <row r="281" spans="2:31" x14ac:dyDescent="0.4">
      <c r="B281" s="16">
        <v>44527</v>
      </c>
      <c r="C281" s="15">
        <v>0.47500000000000003</v>
      </c>
      <c r="D281" s="21">
        <f t="shared" si="14"/>
        <v>44527.474999999999</v>
      </c>
      <c r="E281" s="25">
        <v>279</v>
      </c>
      <c r="F281" s="1">
        <v>11</v>
      </c>
      <c r="G281" s="1">
        <f>VLOOKUP(F281,監督フォーメーション!$A$2:$C$15,3,FALSE)</f>
        <v>4213</v>
      </c>
      <c r="H281" s="1">
        <v>1432</v>
      </c>
      <c r="J281" s="1">
        <v>4312</v>
      </c>
      <c r="K281" s="9">
        <v>0.64</v>
      </c>
      <c r="L281" s="1">
        <v>10</v>
      </c>
      <c r="M281" s="9">
        <v>0.84</v>
      </c>
      <c r="N281" s="1">
        <f t="shared" si="17"/>
        <v>2</v>
      </c>
      <c r="O281" s="1">
        <f t="shared" si="13"/>
        <v>0</v>
      </c>
      <c r="P281" s="1" t="str">
        <f t="shared" si="16"/>
        <v>勝</v>
      </c>
      <c r="Q281" s="1" t="s">
        <v>41</v>
      </c>
      <c r="R281" s="17" t="s">
        <v>46</v>
      </c>
      <c r="S281" s="8" t="s">
        <v>44</v>
      </c>
      <c r="T281" s="17" t="s">
        <v>41</v>
      </c>
      <c r="U281" s="8"/>
      <c r="W281" s="8"/>
      <c r="Y281" s="8"/>
      <c r="AA281" s="8"/>
      <c r="AC281" s="8"/>
      <c r="AE281" s="8"/>
    </row>
    <row r="282" spans="2:31" x14ac:dyDescent="0.4">
      <c r="B282" s="16">
        <v>44527</v>
      </c>
      <c r="C282" s="15">
        <v>0.67083333333333339</v>
      </c>
      <c r="D282" s="21">
        <f t="shared" si="14"/>
        <v>44527.67083333333</v>
      </c>
      <c r="E282" s="25">
        <v>280</v>
      </c>
      <c r="F282" s="1">
        <v>11</v>
      </c>
      <c r="G282" s="1">
        <f>VLOOKUP(F282,監督フォーメーション!$A$2:$C$15,3,FALSE)</f>
        <v>4213</v>
      </c>
      <c r="H282" s="1">
        <v>1443</v>
      </c>
      <c r="K282" s="9"/>
      <c r="M282" s="9"/>
      <c r="N282" s="1">
        <f t="shared" si="17"/>
        <v>0</v>
      </c>
      <c r="O282" s="1">
        <f t="shared" si="13"/>
        <v>0</v>
      </c>
      <c r="P282" s="1" t="str">
        <f t="shared" si="16"/>
        <v>引</v>
      </c>
      <c r="S282" s="8"/>
      <c r="U282" s="8"/>
      <c r="W282" s="8"/>
      <c r="Y282" s="8"/>
      <c r="AA282" s="8"/>
      <c r="AC282" s="8"/>
      <c r="AE282" s="8"/>
    </row>
    <row r="283" spans="2:31" x14ac:dyDescent="0.4">
      <c r="B283" s="16">
        <v>44527</v>
      </c>
      <c r="D283" s="21">
        <f t="shared" si="14"/>
        <v>44527</v>
      </c>
      <c r="E283" s="25">
        <v>281</v>
      </c>
      <c r="F283" s="1">
        <v>11</v>
      </c>
      <c r="G283" s="1">
        <f>VLOOKUP(F283,監督フォーメーション!$A$2:$C$15,3,FALSE)</f>
        <v>4213</v>
      </c>
      <c r="K283" s="9"/>
      <c r="M283" s="9"/>
      <c r="N283" s="1">
        <f t="shared" si="17"/>
        <v>0</v>
      </c>
      <c r="O283" s="1">
        <f t="shared" si="13"/>
        <v>0</v>
      </c>
      <c r="P283" s="1" t="str">
        <f t="shared" si="16"/>
        <v>引</v>
      </c>
      <c r="S283" s="8"/>
      <c r="U283" s="8"/>
      <c r="W283" s="8"/>
      <c r="Y283" s="8"/>
      <c r="AA283" s="8"/>
      <c r="AC283" s="8"/>
      <c r="AE283" s="8"/>
    </row>
    <row r="284" spans="2:31" x14ac:dyDescent="0.4">
      <c r="D284" s="21">
        <f t="shared" si="14"/>
        <v>0</v>
      </c>
      <c r="E284" s="25">
        <v>282</v>
      </c>
      <c r="F284" s="1">
        <v>11</v>
      </c>
      <c r="G284" s="1">
        <f>VLOOKUP(F284,監督フォーメーション!$A$2:$C$15,3,FALSE)</f>
        <v>4213</v>
      </c>
      <c r="K284" s="9"/>
      <c r="M284" s="9"/>
      <c r="N284" s="1">
        <f t="shared" si="17"/>
        <v>0</v>
      </c>
      <c r="O284" s="1">
        <f t="shared" si="13"/>
        <v>0</v>
      </c>
      <c r="P284" s="1" t="str">
        <f t="shared" si="16"/>
        <v>引</v>
      </c>
      <c r="S284" s="8"/>
      <c r="U284" s="8"/>
      <c r="W284" s="8"/>
      <c r="Y284" s="8"/>
      <c r="AA284" s="8"/>
      <c r="AC284" s="8"/>
      <c r="AE284" s="8"/>
    </row>
    <row r="285" spans="2:31" x14ac:dyDescent="0.4">
      <c r="D285" s="21">
        <f t="shared" si="14"/>
        <v>0</v>
      </c>
      <c r="E285" s="25">
        <v>283</v>
      </c>
      <c r="F285" s="1">
        <v>11</v>
      </c>
      <c r="G285" s="1">
        <f>VLOOKUP(F285,監督フォーメーション!$A$2:$C$15,3,FALSE)</f>
        <v>4213</v>
      </c>
      <c r="K285" s="9"/>
      <c r="M285" s="9"/>
      <c r="N285" s="1">
        <f t="shared" si="17"/>
        <v>0</v>
      </c>
      <c r="O285" s="1">
        <f t="shared" si="13"/>
        <v>0</v>
      </c>
      <c r="P285" s="1" t="str">
        <f t="shared" si="16"/>
        <v>引</v>
      </c>
      <c r="S285" s="8"/>
      <c r="U285" s="8"/>
      <c r="W285" s="8"/>
      <c r="Y285" s="8"/>
      <c r="AA285" s="8"/>
      <c r="AC285" s="8"/>
      <c r="AE285" s="8"/>
    </row>
    <row r="286" spans="2:31" x14ac:dyDescent="0.4">
      <c r="D286" s="21">
        <f t="shared" si="14"/>
        <v>0</v>
      </c>
      <c r="E286" s="25">
        <v>284</v>
      </c>
      <c r="F286" s="1">
        <v>11</v>
      </c>
      <c r="G286" s="1">
        <f>VLOOKUP(F286,監督フォーメーション!$A$2:$C$15,3,FALSE)</f>
        <v>4213</v>
      </c>
      <c r="K286" s="9"/>
      <c r="M286" s="9"/>
      <c r="N286" s="1">
        <f t="shared" si="17"/>
        <v>0</v>
      </c>
      <c r="O286" s="1">
        <f t="shared" ref="O286:O349" si="18">COUNTIF(Q286:AG286, "=失点")</f>
        <v>0</v>
      </c>
      <c r="P286" s="1" t="str">
        <f t="shared" si="16"/>
        <v>引</v>
      </c>
      <c r="S286" s="8"/>
      <c r="U286" s="8"/>
      <c r="W286" s="8"/>
      <c r="Y286" s="8"/>
      <c r="AA286" s="8"/>
      <c r="AC286" s="8"/>
      <c r="AE286" s="8"/>
    </row>
    <row r="287" spans="2:31" x14ac:dyDescent="0.4">
      <c r="D287" s="21">
        <f t="shared" si="14"/>
        <v>0</v>
      </c>
      <c r="E287" s="25">
        <v>285</v>
      </c>
      <c r="F287" s="1">
        <v>11</v>
      </c>
      <c r="G287" s="1">
        <f>VLOOKUP(F287,監督フォーメーション!$A$2:$C$15,3,FALSE)</f>
        <v>4213</v>
      </c>
      <c r="K287" s="9"/>
      <c r="M287" s="9"/>
      <c r="N287" s="1">
        <f t="shared" si="17"/>
        <v>0</v>
      </c>
      <c r="O287" s="1">
        <f t="shared" si="18"/>
        <v>0</v>
      </c>
      <c r="P287" s="1" t="str">
        <f t="shared" si="16"/>
        <v>引</v>
      </c>
      <c r="S287" s="8"/>
      <c r="U287" s="8"/>
      <c r="W287" s="8"/>
      <c r="Y287" s="8"/>
      <c r="AA287" s="8"/>
      <c r="AC287" s="8"/>
      <c r="AE287" s="8"/>
    </row>
    <row r="288" spans="2:31" x14ac:dyDescent="0.4">
      <c r="D288" s="21">
        <f t="shared" si="14"/>
        <v>0</v>
      </c>
      <c r="E288" s="25">
        <v>286</v>
      </c>
      <c r="F288" s="1">
        <v>11</v>
      </c>
      <c r="G288" s="1">
        <f>VLOOKUP(F288,監督フォーメーション!$A$2:$C$15,3,FALSE)</f>
        <v>4213</v>
      </c>
      <c r="K288" s="9"/>
      <c r="M288" s="9"/>
      <c r="N288" s="1">
        <f t="shared" si="17"/>
        <v>0</v>
      </c>
      <c r="O288" s="1">
        <f t="shared" si="18"/>
        <v>0</v>
      </c>
      <c r="P288" s="1" t="str">
        <f t="shared" si="16"/>
        <v>引</v>
      </c>
      <c r="S288" s="8"/>
      <c r="U288" s="8"/>
      <c r="W288" s="8"/>
      <c r="Y288" s="8"/>
      <c r="AA288" s="8"/>
      <c r="AC288" s="8"/>
      <c r="AE288" s="8"/>
    </row>
    <row r="289" spans="4:31" x14ac:dyDescent="0.4">
      <c r="D289" s="21">
        <f t="shared" si="14"/>
        <v>0</v>
      </c>
      <c r="E289" s="25">
        <v>287</v>
      </c>
      <c r="F289" s="1">
        <v>11</v>
      </c>
      <c r="G289" s="1">
        <f>VLOOKUP(F289,監督フォーメーション!$A$2:$C$15,3,FALSE)</f>
        <v>4213</v>
      </c>
      <c r="K289" s="9"/>
      <c r="M289" s="9"/>
      <c r="N289" s="1">
        <f t="shared" si="17"/>
        <v>0</v>
      </c>
      <c r="O289" s="1">
        <f t="shared" si="18"/>
        <v>0</v>
      </c>
      <c r="P289" s="1" t="str">
        <f t="shared" si="16"/>
        <v>引</v>
      </c>
      <c r="S289" s="8"/>
      <c r="U289" s="8"/>
      <c r="W289" s="8"/>
      <c r="Y289" s="8"/>
      <c r="AA289" s="8"/>
      <c r="AC289" s="8"/>
      <c r="AE289" s="8"/>
    </row>
    <row r="290" spans="4:31" x14ac:dyDescent="0.4">
      <c r="D290" s="21">
        <f t="shared" si="14"/>
        <v>0</v>
      </c>
      <c r="E290" s="25">
        <v>288</v>
      </c>
      <c r="F290" s="1">
        <v>11</v>
      </c>
      <c r="G290" s="1">
        <f>VLOOKUP(F290,監督フォーメーション!$A$2:$C$15,3,FALSE)</f>
        <v>4213</v>
      </c>
      <c r="K290" s="9"/>
      <c r="M290" s="9"/>
      <c r="N290" s="1">
        <f t="shared" si="17"/>
        <v>0</v>
      </c>
      <c r="O290" s="1">
        <f t="shared" si="18"/>
        <v>0</v>
      </c>
      <c r="P290" s="1" t="str">
        <f t="shared" si="16"/>
        <v>引</v>
      </c>
      <c r="S290" s="8"/>
      <c r="U290" s="8"/>
      <c r="W290" s="8"/>
      <c r="Y290" s="8"/>
      <c r="AA290" s="8"/>
      <c r="AC290" s="8"/>
      <c r="AE290" s="8"/>
    </row>
    <row r="291" spans="4:31" x14ac:dyDescent="0.4">
      <c r="D291" s="21">
        <f t="shared" si="14"/>
        <v>0</v>
      </c>
      <c r="E291" s="25">
        <v>289</v>
      </c>
      <c r="F291" s="1">
        <v>11</v>
      </c>
      <c r="G291" s="1">
        <f>VLOOKUP(F291,監督フォーメーション!$A$2:$C$15,3,FALSE)</f>
        <v>4213</v>
      </c>
      <c r="K291" s="9"/>
      <c r="M291" s="9"/>
      <c r="N291" s="1">
        <f t="shared" si="17"/>
        <v>0</v>
      </c>
      <c r="O291" s="1">
        <f t="shared" si="18"/>
        <v>0</v>
      </c>
      <c r="P291" s="1" t="str">
        <f t="shared" si="16"/>
        <v>引</v>
      </c>
      <c r="S291" s="8"/>
      <c r="U291" s="8"/>
      <c r="W291" s="8"/>
      <c r="Y291" s="8"/>
      <c r="AA291" s="8"/>
      <c r="AC291" s="8"/>
      <c r="AE291" s="8"/>
    </row>
    <row r="292" spans="4:31" x14ac:dyDescent="0.4">
      <c r="D292" s="21">
        <f t="shared" si="14"/>
        <v>0</v>
      </c>
      <c r="E292" s="25">
        <v>290</v>
      </c>
      <c r="F292" s="1">
        <v>11</v>
      </c>
      <c r="G292" s="1">
        <f>VLOOKUP(F292,監督フォーメーション!$A$2:$C$15,3,FALSE)</f>
        <v>4213</v>
      </c>
      <c r="K292" s="9"/>
      <c r="M292" s="9"/>
      <c r="N292" s="1">
        <f t="shared" si="17"/>
        <v>0</v>
      </c>
      <c r="O292" s="1">
        <f t="shared" si="18"/>
        <v>0</v>
      </c>
      <c r="P292" s="1" t="str">
        <f t="shared" si="16"/>
        <v>引</v>
      </c>
      <c r="S292" s="8"/>
      <c r="U292" s="8"/>
      <c r="W292" s="8"/>
      <c r="Y292" s="8"/>
      <c r="AA292" s="8"/>
      <c r="AC292" s="8"/>
      <c r="AE292" s="8"/>
    </row>
    <row r="293" spans="4:31" x14ac:dyDescent="0.4">
      <c r="D293" s="21">
        <f t="shared" si="14"/>
        <v>0</v>
      </c>
      <c r="E293" s="25">
        <v>291</v>
      </c>
      <c r="F293" s="1">
        <v>11</v>
      </c>
      <c r="G293" s="1">
        <f>VLOOKUP(F293,監督フォーメーション!$A$2:$C$15,3,FALSE)</f>
        <v>4213</v>
      </c>
      <c r="K293" s="9"/>
      <c r="M293" s="9"/>
      <c r="N293" s="1">
        <f t="shared" si="17"/>
        <v>0</v>
      </c>
      <c r="O293" s="1">
        <f t="shared" si="18"/>
        <v>0</v>
      </c>
      <c r="P293" s="1" t="str">
        <f t="shared" si="16"/>
        <v>引</v>
      </c>
      <c r="S293" s="8"/>
      <c r="U293" s="8"/>
      <c r="W293" s="8"/>
      <c r="Y293" s="8"/>
      <c r="AA293" s="8"/>
      <c r="AC293" s="8"/>
      <c r="AE293" s="8"/>
    </row>
    <row r="294" spans="4:31" x14ac:dyDescent="0.4">
      <c r="D294" s="21">
        <f t="shared" si="14"/>
        <v>0</v>
      </c>
      <c r="E294" s="25">
        <v>292</v>
      </c>
      <c r="F294" s="1">
        <v>11</v>
      </c>
      <c r="G294" s="1">
        <f>VLOOKUP(F294,監督フォーメーション!$A$2:$C$15,3,FALSE)</f>
        <v>4213</v>
      </c>
      <c r="K294" s="9"/>
      <c r="M294" s="9"/>
      <c r="N294" s="1">
        <f t="shared" si="17"/>
        <v>0</v>
      </c>
      <c r="O294" s="1">
        <f t="shared" si="18"/>
        <v>0</v>
      </c>
      <c r="P294" s="1" t="str">
        <f t="shared" si="16"/>
        <v>引</v>
      </c>
      <c r="S294" s="8"/>
      <c r="U294" s="8"/>
      <c r="W294" s="8"/>
      <c r="Y294" s="8"/>
      <c r="AA294" s="8"/>
      <c r="AC294" s="8"/>
      <c r="AE294" s="8"/>
    </row>
    <row r="295" spans="4:31" x14ac:dyDescent="0.4">
      <c r="D295" s="21">
        <f t="shared" si="14"/>
        <v>0</v>
      </c>
      <c r="E295" s="25">
        <v>293</v>
      </c>
      <c r="F295" s="1">
        <v>11</v>
      </c>
      <c r="G295" s="1">
        <f>VLOOKUP(F295,監督フォーメーション!$A$2:$C$15,3,FALSE)</f>
        <v>4213</v>
      </c>
      <c r="K295" s="9"/>
      <c r="M295" s="9"/>
      <c r="N295" s="1">
        <f t="shared" si="17"/>
        <v>0</v>
      </c>
      <c r="O295" s="1">
        <f t="shared" si="18"/>
        <v>0</v>
      </c>
      <c r="P295" s="1" t="str">
        <f t="shared" si="16"/>
        <v>引</v>
      </c>
      <c r="S295" s="8"/>
      <c r="U295" s="8"/>
      <c r="W295" s="8"/>
      <c r="Y295" s="8"/>
      <c r="AA295" s="8"/>
      <c r="AC295" s="8"/>
      <c r="AE295" s="8"/>
    </row>
    <row r="296" spans="4:31" x14ac:dyDescent="0.4">
      <c r="D296" s="21">
        <f t="shared" si="14"/>
        <v>0</v>
      </c>
      <c r="E296" s="25">
        <v>294</v>
      </c>
      <c r="F296" s="1">
        <v>11</v>
      </c>
      <c r="G296" s="1">
        <f>VLOOKUP(F296,監督フォーメーション!$A$2:$C$15,3,FALSE)</f>
        <v>4213</v>
      </c>
      <c r="K296" s="9"/>
      <c r="M296" s="9"/>
      <c r="N296" s="1">
        <f t="shared" si="17"/>
        <v>0</v>
      </c>
      <c r="O296" s="1">
        <f t="shared" si="18"/>
        <v>0</v>
      </c>
      <c r="P296" s="1" t="str">
        <f t="shared" si="16"/>
        <v>引</v>
      </c>
      <c r="S296" s="8"/>
      <c r="U296" s="8"/>
      <c r="W296" s="8"/>
      <c r="Y296" s="8"/>
      <c r="AA296" s="8"/>
      <c r="AC296" s="8"/>
      <c r="AE296" s="8"/>
    </row>
    <row r="297" spans="4:31" x14ac:dyDescent="0.4">
      <c r="D297" s="21">
        <f t="shared" si="14"/>
        <v>0</v>
      </c>
      <c r="E297" s="25">
        <v>295</v>
      </c>
      <c r="F297" s="1">
        <v>11</v>
      </c>
      <c r="G297" s="1">
        <f>VLOOKUP(F297,監督フォーメーション!$A$2:$C$15,3,FALSE)</f>
        <v>4213</v>
      </c>
      <c r="K297" s="9"/>
      <c r="M297" s="9"/>
      <c r="N297" s="1">
        <f t="shared" si="17"/>
        <v>0</v>
      </c>
      <c r="O297" s="1">
        <f t="shared" si="18"/>
        <v>0</v>
      </c>
      <c r="P297" s="1" t="str">
        <f t="shared" si="16"/>
        <v>引</v>
      </c>
      <c r="S297" s="8"/>
      <c r="U297" s="8"/>
      <c r="W297" s="8"/>
      <c r="Y297" s="8"/>
      <c r="AA297" s="8"/>
      <c r="AC297" s="8"/>
      <c r="AE297" s="8"/>
    </row>
    <row r="298" spans="4:31" x14ac:dyDescent="0.4">
      <c r="D298" s="21">
        <f t="shared" si="14"/>
        <v>0</v>
      </c>
      <c r="E298" s="25">
        <v>296</v>
      </c>
      <c r="F298" s="1">
        <v>11</v>
      </c>
      <c r="G298" s="1">
        <f>VLOOKUP(F298,監督フォーメーション!$A$2:$C$15,3,FALSE)</f>
        <v>4213</v>
      </c>
      <c r="K298" s="9"/>
      <c r="M298" s="9"/>
      <c r="N298" s="1">
        <f t="shared" si="17"/>
        <v>0</v>
      </c>
      <c r="O298" s="1">
        <f t="shared" si="18"/>
        <v>0</v>
      </c>
      <c r="P298" s="1" t="str">
        <f t="shared" si="16"/>
        <v>引</v>
      </c>
      <c r="S298" s="8"/>
      <c r="U298" s="8"/>
      <c r="W298" s="8"/>
      <c r="Y298" s="8"/>
      <c r="AA298" s="8"/>
      <c r="AC298" s="8"/>
      <c r="AE298" s="8"/>
    </row>
    <row r="299" spans="4:31" x14ac:dyDescent="0.4">
      <c r="D299" s="21">
        <f t="shared" ref="D299:D362" si="19">B299+C299</f>
        <v>0</v>
      </c>
      <c r="E299" s="25">
        <v>297</v>
      </c>
      <c r="F299" s="1">
        <v>11</v>
      </c>
      <c r="G299" s="1">
        <f>VLOOKUP(F299,監督フォーメーション!$A$2:$C$15,3,FALSE)</f>
        <v>4213</v>
      </c>
      <c r="K299" s="9"/>
      <c r="M299" s="9"/>
      <c r="N299" s="1">
        <f t="shared" si="17"/>
        <v>0</v>
      </c>
      <c r="O299" s="1">
        <f t="shared" si="18"/>
        <v>0</v>
      </c>
      <c r="P299" s="1" t="str">
        <f t="shared" si="16"/>
        <v>引</v>
      </c>
      <c r="S299" s="8"/>
      <c r="U299" s="8"/>
      <c r="W299" s="8"/>
      <c r="Y299" s="8"/>
      <c r="AA299" s="8"/>
      <c r="AC299" s="8"/>
      <c r="AE299" s="8"/>
    </row>
    <row r="300" spans="4:31" x14ac:dyDescent="0.4">
      <c r="D300" s="21">
        <f t="shared" si="19"/>
        <v>0</v>
      </c>
      <c r="E300" s="25">
        <v>298</v>
      </c>
      <c r="F300" s="1">
        <v>11</v>
      </c>
      <c r="G300" s="1">
        <f>VLOOKUP(F300,監督フォーメーション!$A$2:$C$15,3,FALSE)</f>
        <v>4213</v>
      </c>
      <c r="K300" s="9"/>
      <c r="M300" s="9"/>
      <c r="N300" s="1">
        <f t="shared" si="17"/>
        <v>0</v>
      </c>
      <c r="O300" s="1">
        <f t="shared" si="18"/>
        <v>0</v>
      </c>
      <c r="P300" s="1" t="str">
        <f t="shared" si="16"/>
        <v>引</v>
      </c>
      <c r="S300" s="8"/>
      <c r="U300" s="8"/>
      <c r="W300" s="8"/>
      <c r="Y300" s="8"/>
      <c r="AA300" s="8"/>
      <c r="AC300" s="8"/>
      <c r="AE300" s="8"/>
    </row>
    <row r="301" spans="4:31" x14ac:dyDescent="0.4">
      <c r="D301" s="21">
        <f t="shared" si="19"/>
        <v>0</v>
      </c>
      <c r="E301" s="25">
        <v>299</v>
      </c>
      <c r="F301" s="1">
        <v>11</v>
      </c>
      <c r="G301" s="1">
        <f>VLOOKUP(F301,監督フォーメーション!$A$2:$C$15,3,FALSE)</f>
        <v>4213</v>
      </c>
      <c r="K301" s="9"/>
      <c r="M301" s="9"/>
      <c r="N301" s="1">
        <f t="shared" si="17"/>
        <v>0</v>
      </c>
      <c r="O301" s="1">
        <f t="shared" si="18"/>
        <v>0</v>
      </c>
      <c r="P301" s="1" t="str">
        <f t="shared" si="16"/>
        <v>引</v>
      </c>
      <c r="S301" s="8"/>
      <c r="U301" s="8"/>
      <c r="W301" s="8"/>
      <c r="Y301" s="8"/>
      <c r="AA301" s="8"/>
      <c r="AC301" s="8"/>
      <c r="AE301" s="8"/>
    </row>
    <row r="302" spans="4:31" x14ac:dyDescent="0.4">
      <c r="D302" s="21">
        <f t="shared" si="19"/>
        <v>0</v>
      </c>
      <c r="E302" s="25">
        <v>300</v>
      </c>
      <c r="F302" s="1">
        <v>11</v>
      </c>
      <c r="G302" s="1">
        <f>VLOOKUP(F302,監督フォーメーション!$A$2:$C$15,3,FALSE)</f>
        <v>4213</v>
      </c>
      <c r="K302" s="9"/>
      <c r="M302" s="9"/>
      <c r="N302" s="1">
        <f t="shared" si="17"/>
        <v>0</v>
      </c>
      <c r="O302" s="1">
        <f t="shared" si="18"/>
        <v>0</v>
      </c>
      <c r="P302" s="1" t="str">
        <f t="shared" si="16"/>
        <v>引</v>
      </c>
      <c r="S302" s="8"/>
      <c r="U302" s="8"/>
      <c r="W302" s="8"/>
      <c r="Y302" s="8"/>
      <c r="AA302" s="8"/>
      <c r="AC302" s="8"/>
      <c r="AE302" s="8"/>
    </row>
    <row r="303" spans="4:31" x14ac:dyDescent="0.4">
      <c r="D303" s="21">
        <f t="shared" si="19"/>
        <v>0</v>
      </c>
      <c r="E303" s="25">
        <v>301</v>
      </c>
      <c r="F303" s="1">
        <v>11</v>
      </c>
      <c r="G303" s="1">
        <f>VLOOKUP(F303,監督フォーメーション!$A$2:$C$15,3,FALSE)</f>
        <v>4213</v>
      </c>
      <c r="K303" s="9"/>
      <c r="M303" s="9"/>
      <c r="N303" s="1">
        <f t="shared" si="17"/>
        <v>0</v>
      </c>
      <c r="O303" s="1">
        <f t="shared" si="18"/>
        <v>0</v>
      </c>
      <c r="P303" s="1" t="str">
        <f t="shared" si="16"/>
        <v>引</v>
      </c>
      <c r="S303" s="8"/>
      <c r="U303" s="8"/>
      <c r="W303" s="8"/>
      <c r="Y303" s="8"/>
      <c r="AA303" s="8"/>
      <c r="AC303" s="8"/>
      <c r="AE303" s="8"/>
    </row>
    <row r="304" spans="4:31" x14ac:dyDescent="0.4">
      <c r="D304" s="21">
        <f t="shared" si="19"/>
        <v>0</v>
      </c>
      <c r="E304" s="25">
        <v>302</v>
      </c>
      <c r="F304" s="1">
        <v>11</v>
      </c>
      <c r="G304" s="1">
        <f>VLOOKUP(F304,監督フォーメーション!$A$2:$C$15,3,FALSE)</f>
        <v>4213</v>
      </c>
      <c r="K304" s="9"/>
      <c r="M304" s="9"/>
      <c r="N304" s="1">
        <f t="shared" si="17"/>
        <v>0</v>
      </c>
      <c r="O304" s="1">
        <f t="shared" si="18"/>
        <v>0</v>
      </c>
      <c r="P304" s="1" t="str">
        <f t="shared" si="16"/>
        <v>引</v>
      </c>
      <c r="S304" s="8"/>
      <c r="U304" s="8"/>
      <c r="W304" s="8"/>
      <c r="Y304" s="8"/>
      <c r="AA304" s="8"/>
      <c r="AC304" s="8"/>
      <c r="AE304" s="8"/>
    </row>
    <row r="305" spans="4:31" x14ac:dyDescent="0.4">
      <c r="D305" s="21">
        <f t="shared" si="19"/>
        <v>0</v>
      </c>
      <c r="E305" s="25">
        <v>303</v>
      </c>
      <c r="F305" s="1">
        <v>11</v>
      </c>
      <c r="G305" s="1">
        <f>VLOOKUP(F305,監督フォーメーション!$A$2:$C$15,3,FALSE)</f>
        <v>4213</v>
      </c>
      <c r="K305" s="9"/>
      <c r="M305" s="9"/>
      <c r="N305" s="1">
        <f t="shared" si="17"/>
        <v>0</v>
      </c>
      <c r="O305" s="1">
        <f t="shared" si="18"/>
        <v>0</v>
      </c>
      <c r="P305" s="1" t="str">
        <f t="shared" si="16"/>
        <v>引</v>
      </c>
      <c r="S305" s="8"/>
      <c r="U305" s="8"/>
      <c r="W305" s="8"/>
      <c r="Y305" s="8"/>
      <c r="AA305" s="8"/>
      <c r="AC305" s="8"/>
      <c r="AE305" s="8"/>
    </row>
    <row r="306" spans="4:31" x14ac:dyDescent="0.4">
      <c r="D306" s="21">
        <f t="shared" si="19"/>
        <v>0</v>
      </c>
      <c r="E306" s="25">
        <v>304</v>
      </c>
      <c r="F306" s="1">
        <v>11</v>
      </c>
      <c r="G306" s="1">
        <f>VLOOKUP(F306,監督フォーメーション!$A$2:$C$15,3,FALSE)</f>
        <v>4213</v>
      </c>
      <c r="K306" s="9"/>
      <c r="M306" s="9"/>
      <c r="N306" s="1">
        <f t="shared" si="17"/>
        <v>0</v>
      </c>
      <c r="O306" s="1">
        <f t="shared" si="18"/>
        <v>0</v>
      </c>
      <c r="P306" s="1" t="str">
        <f t="shared" si="16"/>
        <v>引</v>
      </c>
      <c r="S306" s="8"/>
      <c r="U306" s="8"/>
      <c r="W306" s="8"/>
      <c r="Y306" s="8"/>
      <c r="AA306" s="8"/>
      <c r="AC306" s="8"/>
      <c r="AE306" s="8"/>
    </row>
    <row r="307" spans="4:31" x14ac:dyDescent="0.4">
      <c r="D307" s="21">
        <f t="shared" si="19"/>
        <v>0</v>
      </c>
      <c r="E307" s="25">
        <v>305</v>
      </c>
      <c r="F307" s="1">
        <v>11</v>
      </c>
      <c r="G307" s="1">
        <f>VLOOKUP(F307,監督フォーメーション!$A$2:$C$15,3,FALSE)</f>
        <v>4213</v>
      </c>
      <c r="K307" s="9"/>
      <c r="M307" s="9"/>
      <c r="N307" s="1">
        <f t="shared" si="17"/>
        <v>0</v>
      </c>
      <c r="O307" s="1">
        <f t="shared" si="18"/>
        <v>0</v>
      </c>
      <c r="P307" s="1" t="str">
        <f t="shared" si="16"/>
        <v>引</v>
      </c>
      <c r="S307" s="8"/>
      <c r="U307" s="8"/>
      <c r="W307" s="8"/>
      <c r="Y307" s="8"/>
      <c r="AA307" s="8"/>
      <c r="AC307" s="8"/>
      <c r="AE307" s="8"/>
    </row>
    <row r="308" spans="4:31" x14ac:dyDescent="0.4">
      <c r="D308" s="21">
        <f t="shared" si="19"/>
        <v>0</v>
      </c>
      <c r="E308" s="25">
        <v>306</v>
      </c>
      <c r="F308" s="1">
        <v>11</v>
      </c>
      <c r="G308" s="1">
        <f>VLOOKUP(F308,監督フォーメーション!$A$2:$C$15,3,FALSE)</f>
        <v>4213</v>
      </c>
      <c r="K308" s="9"/>
      <c r="M308" s="9"/>
      <c r="N308" s="1">
        <f t="shared" si="17"/>
        <v>0</v>
      </c>
      <c r="O308" s="1">
        <f t="shared" si="18"/>
        <v>0</v>
      </c>
      <c r="P308" s="1" t="str">
        <f t="shared" si="16"/>
        <v>引</v>
      </c>
      <c r="S308" s="8"/>
      <c r="U308" s="8"/>
      <c r="W308" s="8"/>
      <c r="Y308" s="8"/>
      <c r="AA308" s="8"/>
      <c r="AC308" s="8"/>
      <c r="AE308" s="8"/>
    </row>
    <row r="309" spans="4:31" x14ac:dyDescent="0.4">
      <c r="D309" s="21">
        <f t="shared" si="19"/>
        <v>0</v>
      </c>
      <c r="E309" s="25">
        <v>307</v>
      </c>
      <c r="F309" s="1">
        <v>11</v>
      </c>
      <c r="G309" s="1">
        <f>VLOOKUP(F309,監督フォーメーション!$A$2:$C$15,3,FALSE)</f>
        <v>4213</v>
      </c>
      <c r="K309" s="9"/>
      <c r="M309" s="9"/>
      <c r="N309" s="1">
        <f t="shared" si="17"/>
        <v>0</v>
      </c>
      <c r="O309" s="1">
        <f t="shared" si="18"/>
        <v>0</v>
      </c>
      <c r="P309" s="1" t="str">
        <f t="shared" si="16"/>
        <v>引</v>
      </c>
      <c r="S309" s="8"/>
      <c r="U309" s="8"/>
      <c r="W309" s="8"/>
      <c r="Y309" s="8"/>
      <c r="AA309" s="8"/>
      <c r="AC309" s="8"/>
      <c r="AE309" s="8"/>
    </row>
    <row r="310" spans="4:31" x14ac:dyDescent="0.4">
      <c r="D310" s="21">
        <f t="shared" si="19"/>
        <v>0</v>
      </c>
      <c r="E310" s="25">
        <v>308</v>
      </c>
      <c r="F310" s="1">
        <v>11</v>
      </c>
      <c r="G310" s="1">
        <f>VLOOKUP(F310,監督フォーメーション!$A$2:$C$15,3,FALSE)</f>
        <v>4213</v>
      </c>
      <c r="K310" s="9"/>
      <c r="M310" s="9"/>
      <c r="N310" s="1">
        <f t="shared" si="17"/>
        <v>0</v>
      </c>
      <c r="O310" s="1">
        <f t="shared" si="18"/>
        <v>0</v>
      </c>
      <c r="P310" s="1" t="str">
        <f t="shared" si="16"/>
        <v>引</v>
      </c>
      <c r="S310" s="8"/>
      <c r="U310" s="8"/>
      <c r="W310" s="8"/>
      <c r="Y310" s="8"/>
      <c r="AA310" s="8"/>
      <c r="AC310" s="8"/>
      <c r="AE310" s="8"/>
    </row>
    <row r="311" spans="4:31" x14ac:dyDescent="0.4">
      <c r="D311" s="21">
        <f t="shared" si="19"/>
        <v>0</v>
      </c>
      <c r="E311" s="25">
        <v>309</v>
      </c>
      <c r="F311" s="1">
        <v>11</v>
      </c>
      <c r="G311" s="1">
        <f>VLOOKUP(F311,監督フォーメーション!$A$2:$C$15,3,FALSE)</f>
        <v>4213</v>
      </c>
      <c r="K311" s="9"/>
      <c r="M311" s="9"/>
      <c r="N311" s="1">
        <f t="shared" si="17"/>
        <v>0</v>
      </c>
      <c r="O311" s="1">
        <f t="shared" si="18"/>
        <v>0</v>
      </c>
      <c r="P311" s="1" t="str">
        <f t="shared" si="16"/>
        <v>引</v>
      </c>
      <c r="S311" s="8"/>
      <c r="U311" s="8"/>
      <c r="W311" s="8"/>
      <c r="Y311" s="8"/>
      <c r="AA311" s="8"/>
      <c r="AC311" s="8"/>
      <c r="AE311" s="8"/>
    </row>
    <row r="312" spans="4:31" x14ac:dyDescent="0.4">
      <c r="D312" s="21">
        <f t="shared" si="19"/>
        <v>0</v>
      </c>
      <c r="E312" s="25">
        <v>310</v>
      </c>
      <c r="F312" s="1">
        <v>11</v>
      </c>
      <c r="G312" s="1">
        <f>VLOOKUP(F312,監督フォーメーション!$A$2:$C$15,3,FALSE)</f>
        <v>4213</v>
      </c>
      <c r="K312" s="9"/>
      <c r="M312" s="9"/>
      <c r="N312" s="1">
        <f t="shared" si="17"/>
        <v>0</v>
      </c>
      <c r="O312" s="1">
        <f t="shared" si="18"/>
        <v>0</v>
      </c>
      <c r="P312" s="1" t="str">
        <f t="shared" si="16"/>
        <v>引</v>
      </c>
      <c r="S312" s="8"/>
      <c r="U312" s="8"/>
      <c r="W312" s="8"/>
      <c r="Y312" s="8"/>
      <c r="AA312" s="8"/>
      <c r="AC312" s="8"/>
      <c r="AE312" s="8"/>
    </row>
    <row r="313" spans="4:31" x14ac:dyDescent="0.4">
      <c r="D313" s="21">
        <f t="shared" si="19"/>
        <v>0</v>
      </c>
      <c r="E313" s="25">
        <v>311</v>
      </c>
      <c r="F313" s="1">
        <v>11</v>
      </c>
      <c r="G313" s="1">
        <f>VLOOKUP(F313,監督フォーメーション!$A$2:$C$15,3,FALSE)</f>
        <v>4213</v>
      </c>
      <c r="K313" s="9"/>
      <c r="M313" s="9"/>
      <c r="N313" s="1">
        <f t="shared" si="17"/>
        <v>0</v>
      </c>
      <c r="O313" s="1">
        <f t="shared" si="18"/>
        <v>0</v>
      </c>
      <c r="P313" s="1" t="str">
        <f t="shared" si="16"/>
        <v>引</v>
      </c>
      <c r="S313" s="8"/>
      <c r="U313" s="8"/>
      <c r="W313" s="8"/>
      <c r="Y313" s="8"/>
      <c r="AA313" s="8"/>
      <c r="AC313" s="8"/>
      <c r="AE313" s="8"/>
    </row>
    <row r="314" spans="4:31" x14ac:dyDescent="0.4">
      <c r="D314" s="21">
        <f t="shared" si="19"/>
        <v>0</v>
      </c>
      <c r="E314" s="25">
        <v>312</v>
      </c>
      <c r="F314" s="1">
        <v>11</v>
      </c>
      <c r="G314" s="1">
        <f>VLOOKUP(F314,監督フォーメーション!$A$2:$C$15,3,FALSE)</f>
        <v>4213</v>
      </c>
      <c r="K314" s="9"/>
      <c r="M314" s="9"/>
      <c r="N314" s="1">
        <f t="shared" si="17"/>
        <v>0</v>
      </c>
      <c r="O314" s="1">
        <f t="shared" si="18"/>
        <v>0</v>
      </c>
      <c r="P314" s="1" t="str">
        <f t="shared" si="16"/>
        <v>引</v>
      </c>
      <c r="S314" s="8"/>
      <c r="U314" s="8"/>
      <c r="W314" s="8"/>
      <c r="Y314" s="8"/>
      <c r="AA314" s="8"/>
      <c r="AC314" s="8"/>
      <c r="AE314" s="8"/>
    </row>
    <row r="315" spans="4:31" x14ac:dyDescent="0.4">
      <c r="D315" s="21">
        <f t="shared" si="19"/>
        <v>0</v>
      </c>
      <c r="E315" s="25">
        <v>313</v>
      </c>
      <c r="F315" s="1">
        <v>11</v>
      </c>
      <c r="G315" s="1">
        <f>VLOOKUP(F315,監督フォーメーション!$A$2:$C$15,3,FALSE)</f>
        <v>4213</v>
      </c>
      <c r="K315" s="9"/>
      <c r="M315" s="9"/>
      <c r="N315" s="1">
        <f t="shared" si="17"/>
        <v>0</v>
      </c>
      <c r="O315" s="1">
        <f t="shared" si="18"/>
        <v>0</v>
      </c>
      <c r="P315" s="1" t="str">
        <f t="shared" si="16"/>
        <v>引</v>
      </c>
      <c r="S315" s="8"/>
      <c r="U315" s="8"/>
      <c r="W315" s="8"/>
      <c r="Y315" s="8"/>
      <c r="AA315" s="8"/>
      <c r="AC315" s="8"/>
      <c r="AE315" s="8"/>
    </row>
    <row r="316" spans="4:31" x14ac:dyDescent="0.4">
      <c r="D316" s="21">
        <f t="shared" si="19"/>
        <v>0</v>
      </c>
      <c r="E316" s="25">
        <v>314</v>
      </c>
      <c r="F316" s="1">
        <v>11</v>
      </c>
      <c r="G316" s="1">
        <f>VLOOKUP(F316,監督フォーメーション!$A$2:$C$15,3,FALSE)</f>
        <v>4213</v>
      </c>
      <c r="K316" s="9"/>
      <c r="M316" s="9"/>
      <c r="N316" s="1">
        <f t="shared" si="17"/>
        <v>0</v>
      </c>
      <c r="O316" s="1">
        <f t="shared" si="18"/>
        <v>0</v>
      </c>
      <c r="P316" s="1" t="str">
        <f t="shared" si="16"/>
        <v>引</v>
      </c>
      <c r="S316" s="8"/>
      <c r="U316" s="8"/>
      <c r="W316" s="8"/>
      <c r="Y316" s="8"/>
      <c r="AA316" s="8"/>
      <c r="AC316" s="8"/>
      <c r="AE316" s="8"/>
    </row>
    <row r="317" spans="4:31" x14ac:dyDescent="0.4">
      <c r="D317" s="21">
        <f t="shared" si="19"/>
        <v>0</v>
      </c>
      <c r="E317" s="25">
        <v>315</v>
      </c>
      <c r="F317" s="1">
        <v>11</v>
      </c>
      <c r="G317" s="1">
        <f>VLOOKUP(F317,監督フォーメーション!$A$2:$C$15,3,FALSE)</f>
        <v>4213</v>
      </c>
      <c r="K317" s="9"/>
      <c r="M317" s="9"/>
      <c r="N317" s="1">
        <f t="shared" si="17"/>
        <v>0</v>
      </c>
      <c r="O317" s="1">
        <f t="shared" si="18"/>
        <v>0</v>
      </c>
      <c r="P317" s="1" t="str">
        <f t="shared" si="16"/>
        <v>引</v>
      </c>
      <c r="S317" s="8"/>
      <c r="U317" s="8"/>
      <c r="W317" s="8"/>
      <c r="Y317" s="8"/>
      <c r="AA317" s="8"/>
      <c r="AC317" s="8"/>
      <c r="AE317" s="8"/>
    </row>
    <row r="318" spans="4:31" x14ac:dyDescent="0.4">
      <c r="D318" s="21">
        <f t="shared" si="19"/>
        <v>0</v>
      </c>
      <c r="E318" s="25">
        <v>316</v>
      </c>
      <c r="F318" s="1">
        <v>11</v>
      </c>
      <c r="G318" s="1">
        <f>VLOOKUP(F318,監督フォーメーション!$A$2:$C$15,3,FALSE)</f>
        <v>4213</v>
      </c>
      <c r="K318" s="9"/>
      <c r="M318" s="9"/>
      <c r="N318" s="1">
        <f t="shared" si="17"/>
        <v>0</v>
      </c>
      <c r="O318" s="1">
        <f t="shared" si="18"/>
        <v>0</v>
      </c>
      <c r="P318" s="1" t="str">
        <f t="shared" si="16"/>
        <v>引</v>
      </c>
      <c r="S318" s="8"/>
      <c r="U318" s="8"/>
      <c r="W318" s="8"/>
      <c r="Y318" s="8"/>
      <c r="AA318" s="8"/>
      <c r="AC318" s="8"/>
      <c r="AE318" s="8"/>
    </row>
    <row r="319" spans="4:31" x14ac:dyDescent="0.4">
      <c r="D319" s="21">
        <f t="shared" si="19"/>
        <v>0</v>
      </c>
      <c r="E319" s="25">
        <v>317</v>
      </c>
      <c r="F319" s="1">
        <v>11</v>
      </c>
      <c r="G319" s="1">
        <f>VLOOKUP(F319,監督フォーメーション!$A$2:$C$15,3,FALSE)</f>
        <v>4213</v>
      </c>
      <c r="K319" s="9"/>
      <c r="M319" s="9"/>
      <c r="N319" s="1">
        <f t="shared" si="17"/>
        <v>0</v>
      </c>
      <c r="O319" s="1">
        <f t="shared" si="18"/>
        <v>0</v>
      </c>
      <c r="P319" s="1" t="str">
        <f t="shared" si="16"/>
        <v>引</v>
      </c>
      <c r="S319" s="8"/>
      <c r="U319" s="8"/>
      <c r="W319" s="8"/>
      <c r="Y319" s="8"/>
      <c r="AA319" s="8"/>
      <c r="AC319" s="8"/>
      <c r="AE319" s="8"/>
    </row>
    <row r="320" spans="4:31" x14ac:dyDescent="0.4">
      <c r="D320" s="21">
        <f t="shared" si="19"/>
        <v>0</v>
      </c>
      <c r="E320" s="25">
        <v>318</v>
      </c>
      <c r="F320" s="1">
        <v>11</v>
      </c>
      <c r="G320" s="1">
        <f>VLOOKUP(F320,監督フォーメーション!$A$2:$C$15,3,FALSE)</f>
        <v>4213</v>
      </c>
      <c r="K320" s="9"/>
      <c r="M320" s="9"/>
      <c r="N320" s="1">
        <f t="shared" si="17"/>
        <v>0</v>
      </c>
      <c r="O320" s="1">
        <f t="shared" si="18"/>
        <v>0</v>
      </c>
      <c r="P320" s="1" t="str">
        <f t="shared" si="16"/>
        <v>引</v>
      </c>
      <c r="S320" s="8"/>
      <c r="U320" s="8"/>
      <c r="W320" s="8"/>
      <c r="Y320" s="8"/>
      <c r="AA320" s="8"/>
      <c r="AC320" s="8"/>
      <c r="AE320" s="8"/>
    </row>
    <row r="321" spans="4:31" x14ac:dyDescent="0.4">
      <c r="D321" s="21">
        <f t="shared" si="19"/>
        <v>0</v>
      </c>
      <c r="E321" s="25">
        <v>319</v>
      </c>
      <c r="F321" s="1">
        <v>11</v>
      </c>
      <c r="G321" s="1">
        <f>VLOOKUP(F321,監督フォーメーション!$A$2:$C$15,3,FALSE)</f>
        <v>4213</v>
      </c>
      <c r="K321" s="9"/>
      <c r="M321" s="9"/>
      <c r="N321" s="1">
        <f t="shared" si="17"/>
        <v>0</v>
      </c>
      <c r="O321" s="1">
        <f t="shared" si="18"/>
        <v>0</v>
      </c>
      <c r="P321" s="1" t="str">
        <f t="shared" si="16"/>
        <v>引</v>
      </c>
      <c r="S321" s="8"/>
      <c r="U321" s="8"/>
      <c r="W321" s="8"/>
      <c r="Y321" s="8"/>
      <c r="AA321" s="8"/>
      <c r="AC321" s="8"/>
      <c r="AE321" s="8"/>
    </row>
    <row r="322" spans="4:31" x14ac:dyDescent="0.4">
      <c r="D322" s="21">
        <f t="shared" si="19"/>
        <v>0</v>
      </c>
      <c r="E322" s="25">
        <v>320</v>
      </c>
      <c r="F322" s="1">
        <v>11</v>
      </c>
      <c r="G322" s="1">
        <f>VLOOKUP(F322,監督フォーメーション!$A$2:$C$15,3,FALSE)</f>
        <v>4213</v>
      </c>
      <c r="K322" s="9"/>
      <c r="M322" s="9"/>
      <c r="N322" s="1">
        <f t="shared" si="17"/>
        <v>0</v>
      </c>
      <c r="O322" s="1">
        <f t="shared" si="18"/>
        <v>0</v>
      </c>
      <c r="P322" s="1" t="str">
        <f t="shared" si="16"/>
        <v>引</v>
      </c>
      <c r="S322" s="8"/>
      <c r="U322" s="8"/>
      <c r="W322" s="8"/>
      <c r="Y322" s="8"/>
      <c r="AA322" s="8"/>
      <c r="AC322" s="8"/>
      <c r="AE322" s="8"/>
    </row>
    <row r="323" spans="4:31" x14ac:dyDescent="0.4">
      <c r="D323" s="21">
        <f t="shared" si="19"/>
        <v>0</v>
      </c>
      <c r="E323" s="25">
        <v>321</v>
      </c>
      <c r="F323" s="1">
        <v>11</v>
      </c>
      <c r="G323" s="1">
        <f>VLOOKUP(F323,監督フォーメーション!$A$2:$C$15,3,FALSE)</f>
        <v>4213</v>
      </c>
      <c r="K323" s="9"/>
      <c r="M323" s="9"/>
      <c r="N323" s="1">
        <f t="shared" si="17"/>
        <v>0</v>
      </c>
      <c r="O323" s="1">
        <f t="shared" si="18"/>
        <v>0</v>
      </c>
      <c r="P323" s="1" t="str">
        <f t="shared" ref="P323:P386" si="20">IF(N323-O323&gt;0,"勝",IF(N323-O323&lt;0,"負","引"))</f>
        <v>引</v>
      </c>
      <c r="S323" s="8"/>
      <c r="U323" s="8"/>
      <c r="W323" s="8"/>
      <c r="Y323" s="8"/>
      <c r="AA323" s="8"/>
      <c r="AC323" s="8"/>
      <c r="AE323" s="8"/>
    </row>
    <row r="324" spans="4:31" x14ac:dyDescent="0.4">
      <c r="D324" s="21">
        <f t="shared" si="19"/>
        <v>0</v>
      </c>
      <c r="E324" s="25">
        <v>322</v>
      </c>
      <c r="F324" s="1">
        <v>11</v>
      </c>
      <c r="G324" s="1">
        <f>VLOOKUP(F324,監督フォーメーション!$A$2:$C$15,3,FALSE)</f>
        <v>4213</v>
      </c>
      <c r="K324" s="9"/>
      <c r="M324" s="9"/>
      <c r="N324" s="1">
        <f t="shared" si="17"/>
        <v>0</v>
      </c>
      <c r="O324" s="1">
        <f t="shared" si="18"/>
        <v>0</v>
      </c>
      <c r="P324" s="1" t="str">
        <f t="shared" si="20"/>
        <v>引</v>
      </c>
      <c r="S324" s="8"/>
      <c r="U324" s="8"/>
      <c r="W324" s="8"/>
      <c r="Y324" s="8"/>
      <c r="AA324" s="8"/>
      <c r="AC324" s="8"/>
      <c r="AE324" s="8"/>
    </row>
    <row r="325" spans="4:31" x14ac:dyDescent="0.4">
      <c r="D325" s="21">
        <f t="shared" si="19"/>
        <v>0</v>
      </c>
      <c r="E325" s="25">
        <v>323</v>
      </c>
      <c r="F325" s="1">
        <v>11</v>
      </c>
      <c r="G325" s="1">
        <f>VLOOKUP(F325,監督フォーメーション!$A$2:$C$15,3,FALSE)</f>
        <v>4213</v>
      </c>
      <c r="K325" s="9"/>
      <c r="M325" s="9"/>
      <c r="N325" s="1">
        <f t="shared" si="17"/>
        <v>0</v>
      </c>
      <c r="O325" s="1">
        <f t="shared" si="18"/>
        <v>0</v>
      </c>
      <c r="P325" s="1" t="str">
        <f t="shared" si="20"/>
        <v>引</v>
      </c>
      <c r="S325" s="8"/>
      <c r="U325" s="8"/>
      <c r="W325" s="8"/>
      <c r="Y325" s="8"/>
      <c r="AA325" s="8"/>
      <c r="AC325" s="8"/>
      <c r="AE325" s="8"/>
    </row>
    <row r="326" spans="4:31" x14ac:dyDescent="0.4">
      <c r="D326" s="21">
        <f t="shared" si="19"/>
        <v>0</v>
      </c>
      <c r="E326" s="25">
        <v>324</v>
      </c>
      <c r="F326" s="1">
        <v>11</v>
      </c>
      <c r="G326" s="1">
        <f>VLOOKUP(F326,監督フォーメーション!$A$2:$C$15,3,FALSE)</f>
        <v>4213</v>
      </c>
      <c r="K326" s="9"/>
      <c r="M326" s="9"/>
      <c r="N326" s="1">
        <f t="shared" si="17"/>
        <v>0</v>
      </c>
      <c r="O326" s="1">
        <f t="shared" si="18"/>
        <v>0</v>
      </c>
      <c r="P326" s="1" t="str">
        <f t="shared" si="20"/>
        <v>引</v>
      </c>
      <c r="S326" s="8"/>
      <c r="U326" s="8"/>
      <c r="W326" s="8"/>
      <c r="Y326" s="8"/>
      <c r="AA326" s="8"/>
      <c r="AC326" s="8"/>
      <c r="AE326" s="8"/>
    </row>
    <row r="327" spans="4:31" x14ac:dyDescent="0.4">
      <c r="D327" s="21">
        <f t="shared" si="19"/>
        <v>0</v>
      </c>
      <c r="E327" s="25">
        <v>325</v>
      </c>
      <c r="F327" s="1">
        <v>11</v>
      </c>
      <c r="G327" s="1">
        <f>VLOOKUP(F327,監督フォーメーション!$A$2:$C$15,3,FALSE)</f>
        <v>4213</v>
      </c>
      <c r="K327" s="9"/>
      <c r="M327" s="9"/>
      <c r="N327" s="1">
        <f t="shared" si="17"/>
        <v>0</v>
      </c>
      <c r="O327" s="1">
        <f t="shared" si="18"/>
        <v>0</v>
      </c>
      <c r="P327" s="1" t="str">
        <f t="shared" si="20"/>
        <v>引</v>
      </c>
      <c r="S327" s="8"/>
      <c r="U327" s="8"/>
      <c r="W327" s="8"/>
      <c r="Y327" s="8"/>
      <c r="AA327" s="8"/>
      <c r="AC327" s="8"/>
      <c r="AE327" s="8"/>
    </row>
    <row r="328" spans="4:31" x14ac:dyDescent="0.4">
      <c r="D328" s="21">
        <f t="shared" si="19"/>
        <v>0</v>
      </c>
      <c r="E328" s="25">
        <v>326</v>
      </c>
      <c r="F328" s="1">
        <v>11</v>
      </c>
      <c r="G328" s="1">
        <f>VLOOKUP(F328,監督フォーメーション!$A$2:$C$15,3,FALSE)</f>
        <v>4213</v>
      </c>
      <c r="K328" s="9"/>
      <c r="M328" s="9"/>
      <c r="N328" s="1">
        <f t="shared" si="17"/>
        <v>0</v>
      </c>
      <c r="O328" s="1">
        <f t="shared" si="18"/>
        <v>0</v>
      </c>
      <c r="P328" s="1" t="str">
        <f t="shared" si="20"/>
        <v>引</v>
      </c>
      <c r="S328" s="8"/>
      <c r="U328" s="8"/>
      <c r="W328" s="8"/>
      <c r="Y328" s="8"/>
      <c r="AA328" s="8"/>
      <c r="AC328" s="8"/>
      <c r="AE328" s="8"/>
    </row>
    <row r="329" spans="4:31" x14ac:dyDescent="0.4">
      <c r="D329" s="21">
        <f t="shared" si="19"/>
        <v>0</v>
      </c>
      <c r="E329" s="25">
        <v>327</v>
      </c>
      <c r="F329" s="1">
        <v>11</v>
      </c>
      <c r="G329" s="1">
        <f>VLOOKUP(F329,監督フォーメーション!$A$2:$C$15,3,FALSE)</f>
        <v>4213</v>
      </c>
      <c r="K329" s="9"/>
      <c r="M329" s="9"/>
      <c r="N329" s="1">
        <f t="shared" si="17"/>
        <v>0</v>
      </c>
      <c r="O329" s="1">
        <f t="shared" si="18"/>
        <v>0</v>
      </c>
      <c r="P329" s="1" t="str">
        <f t="shared" si="20"/>
        <v>引</v>
      </c>
      <c r="S329" s="8"/>
      <c r="U329" s="8"/>
      <c r="W329" s="8"/>
      <c r="Y329" s="8"/>
      <c r="AA329" s="8"/>
      <c r="AC329" s="8"/>
      <c r="AE329" s="8"/>
    </row>
    <row r="330" spans="4:31" x14ac:dyDescent="0.4">
      <c r="D330" s="21">
        <f t="shared" si="19"/>
        <v>0</v>
      </c>
      <c r="E330" s="25">
        <v>328</v>
      </c>
      <c r="F330" s="1">
        <v>11</v>
      </c>
      <c r="G330" s="1">
        <f>VLOOKUP(F330,監督フォーメーション!$A$2:$C$15,3,FALSE)</f>
        <v>4213</v>
      </c>
      <c r="K330" s="9"/>
      <c r="M330" s="9"/>
      <c r="N330" s="1">
        <f t="shared" si="17"/>
        <v>0</v>
      </c>
      <c r="O330" s="1">
        <f t="shared" si="18"/>
        <v>0</v>
      </c>
      <c r="P330" s="1" t="str">
        <f t="shared" si="20"/>
        <v>引</v>
      </c>
      <c r="S330" s="8"/>
      <c r="U330" s="8"/>
      <c r="W330" s="8"/>
      <c r="Y330" s="8"/>
      <c r="AA330" s="8"/>
      <c r="AC330" s="8"/>
      <c r="AE330" s="8"/>
    </row>
    <row r="331" spans="4:31" x14ac:dyDescent="0.4">
      <c r="D331" s="21">
        <f t="shared" si="19"/>
        <v>0</v>
      </c>
      <c r="E331" s="25">
        <v>329</v>
      </c>
      <c r="F331" s="1">
        <v>11</v>
      </c>
      <c r="G331" s="1">
        <f>VLOOKUP(F331,監督フォーメーション!$A$2:$C$15,3,FALSE)</f>
        <v>4213</v>
      </c>
      <c r="K331" s="9"/>
      <c r="M331" s="9"/>
      <c r="N331" s="1">
        <f t="shared" si="17"/>
        <v>0</v>
      </c>
      <c r="O331" s="1">
        <f t="shared" si="18"/>
        <v>0</v>
      </c>
      <c r="P331" s="1" t="str">
        <f t="shared" si="20"/>
        <v>引</v>
      </c>
      <c r="S331" s="8"/>
      <c r="U331" s="8"/>
      <c r="W331" s="8"/>
      <c r="Y331" s="8"/>
      <c r="AA331" s="8"/>
      <c r="AC331" s="8"/>
      <c r="AE331" s="8"/>
    </row>
    <row r="332" spans="4:31" x14ac:dyDescent="0.4">
      <c r="D332" s="21">
        <f t="shared" si="19"/>
        <v>0</v>
      </c>
      <c r="E332" s="25">
        <v>330</v>
      </c>
      <c r="F332" s="1">
        <v>11</v>
      </c>
      <c r="G332" s="1">
        <f>VLOOKUP(F332,監督フォーメーション!$A$2:$C$15,3,FALSE)</f>
        <v>4213</v>
      </c>
      <c r="K332" s="9"/>
      <c r="M332" s="9"/>
      <c r="N332" s="1">
        <f t="shared" si="17"/>
        <v>0</v>
      </c>
      <c r="O332" s="1">
        <f t="shared" si="18"/>
        <v>0</v>
      </c>
      <c r="P332" s="1" t="str">
        <f t="shared" si="20"/>
        <v>引</v>
      </c>
      <c r="S332" s="8"/>
      <c r="U332" s="8"/>
      <c r="W332" s="8"/>
      <c r="Y332" s="8"/>
      <c r="AA332" s="8"/>
      <c r="AC332" s="8"/>
      <c r="AE332" s="8"/>
    </row>
    <row r="333" spans="4:31" x14ac:dyDescent="0.4">
      <c r="D333" s="21">
        <f t="shared" si="19"/>
        <v>0</v>
      </c>
      <c r="E333" s="25">
        <v>331</v>
      </c>
      <c r="F333" s="1">
        <v>11</v>
      </c>
      <c r="G333" s="1">
        <f>VLOOKUP(F333,監督フォーメーション!$A$2:$C$15,3,FALSE)</f>
        <v>4213</v>
      </c>
      <c r="K333" s="9"/>
      <c r="M333" s="9"/>
      <c r="N333" s="1">
        <f t="shared" si="17"/>
        <v>0</v>
      </c>
      <c r="O333" s="1">
        <f t="shared" si="18"/>
        <v>0</v>
      </c>
      <c r="P333" s="1" t="str">
        <f t="shared" si="20"/>
        <v>引</v>
      </c>
      <c r="S333" s="8"/>
      <c r="U333" s="8"/>
      <c r="W333" s="8"/>
      <c r="Y333" s="8"/>
      <c r="AA333" s="8"/>
      <c r="AC333" s="8"/>
      <c r="AE333" s="8"/>
    </row>
    <row r="334" spans="4:31" x14ac:dyDescent="0.4">
      <c r="D334" s="21">
        <f t="shared" si="19"/>
        <v>0</v>
      </c>
      <c r="E334" s="25">
        <v>332</v>
      </c>
      <c r="F334" s="1">
        <v>11</v>
      </c>
      <c r="G334" s="1">
        <f>VLOOKUP(F334,監督フォーメーション!$A$2:$C$15,3,FALSE)</f>
        <v>4213</v>
      </c>
      <c r="K334" s="9"/>
      <c r="M334" s="9"/>
      <c r="N334" s="1">
        <f t="shared" si="17"/>
        <v>0</v>
      </c>
      <c r="O334" s="1">
        <f t="shared" si="18"/>
        <v>0</v>
      </c>
      <c r="P334" s="1" t="str">
        <f t="shared" si="20"/>
        <v>引</v>
      </c>
      <c r="S334" s="8"/>
      <c r="U334" s="8"/>
      <c r="W334" s="8"/>
      <c r="Y334" s="8"/>
      <c r="AA334" s="8"/>
      <c r="AC334" s="8"/>
      <c r="AE334" s="8"/>
    </row>
    <row r="335" spans="4:31" x14ac:dyDescent="0.4">
      <c r="D335" s="21">
        <f t="shared" si="19"/>
        <v>0</v>
      </c>
      <c r="E335" s="25">
        <v>333</v>
      </c>
      <c r="F335" s="1">
        <v>11</v>
      </c>
      <c r="G335" s="1">
        <f>VLOOKUP(F335,監督フォーメーション!$A$2:$C$15,3,FALSE)</f>
        <v>4213</v>
      </c>
      <c r="K335" s="9"/>
      <c r="M335" s="9"/>
      <c r="N335" s="1">
        <f t="shared" si="17"/>
        <v>0</v>
      </c>
      <c r="O335" s="1">
        <f t="shared" si="18"/>
        <v>0</v>
      </c>
      <c r="P335" s="1" t="str">
        <f t="shared" si="20"/>
        <v>引</v>
      </c>
      <c r="S335" s="8"/>
      <c r="U335" s="8"/>
      <c r="W335" s="8"/>
      <c r="Y335" s="8"/>
      <c r="AA335" s="8"/>
      <c r="AC335" s="8"/>
      <c r="AE335" s="8"/>
    </row>
    <row r="336" spans="4:31" x14ac:dyDescent="0.4">
      <c r="D336" s="21">
        <f t="shared" si="19"/>
        <v>0</v>
      </c>
      <c r="E336" s="25">
        <v>334</v>
      </c>
      <c r="F336" s="1">
        <v>11</v>
      </c>
      <c r="G336" s="1">
        <f>VLOOKUP(F336,監督フォーメーション!$A$2:$C$15,3,FALSE)</f>
        <v>4213</v>
      </c>
      <c r="K336" s="9"/>
      <c r="M336" s="9"/>
      <c r="N336" s="1">
        <f t="shared" ref="N336:N399" si="21">COUNTA(Q336,S336,U336,W336,Y336,AA336,AC336,AE336,AG336)-O336</f>
        <v>0</v>
      </c>
      <c r="O336" s="1">
        <f t="shared" si="18"/>
        <v>0</v>
      </c>
      <c r="P336" s="1" t="str">
        <f t="shared" si="20"/>
        <v>引</v>
      </c>
      <c r="S336" s="8"/>
      <c r="U336" s="8"/>
      <c r="W336" s="8"/>
      <c r="Y336" s="8"/>
      <c r="AA336" s="8"/>
      <c r="AC336" s="8"/>
      <c r="AE336" s="8"/>
    </row>
    <row r="337" spans="4:31" x14ac:dyDescent="0.4">
      <c r="D337" s="21">
        <f t="shared" si="19"/>
        <v>0</v>
      </c>
      <c r="E337" s="25">
        <v>335</v>
      </c>
      <c r="F337" s="1">
        <v>11</v>
      </c>
      <c r="G337" s="1">
        <f>VLOOKUP(F337,監督フォーメーション!$A$2:$C$15,3,FALSE)</f>
        <v>4213</v>
      </c>
      <c r="K337" s="9"/>
      <c r="M337" s="9"/>
      <c r="N337" s="1">
        <f t="shared" si="21"/>
        <v>0</v>
      </c>
      <c r="O337" s="1">
        <f t="shared" si="18"/>
        <v>0</v>
      </c>
      <c r="P337" s="1" t="str">
        <f t="shared" si="20"/>
        <v>引</v>
      </c>
      <c r="S337" s="8"/>
      <c r="U337" s="8"/>
      <c r="W337" s="8"/>
      <c r="Y337" s="8"/>
      <c r="AA337" s="8"/>
      <c r="AC337" s="8"/>
      <c r="AE337" s="8"/>
    </row>
    <row r="338" spans="4:31" x14ac:dyDescent="0.4">
      <c r="D338" s="21">
        <f t="shared" si="19"/>
        <v>0</v>
      </c>
      <c r="E338" s="25">
        <v>336</v>
      </c>
      <c r="F338" s="1">
        <v>11</v>
      </c>
      <c r="G338" s="1">
        <f>VLOOKUP(F338,監督フォーメーション!$A$2:$C$15,3,FALSE)</f>
        <v>4213</v>
      </c>
      <c r="K338" s="9"/>
      <c r="M338" s="9"/>
      <c r="N338" s="1">
        <f t="shared" si="21"/>
        <v>0</v>
      </c>
      <c r="O338" s="1">
        <f t="shared" si="18"/>
        <v>0</v>
      </c>
      <c r="P338" s="1" t="str">
        <f t="shared" si="20"/>
        <v>引</v>
      </c>
      <c r="S338" s="8"/>
      <c r="U338" s="8"/>
      <c r="W338" s="8"/>
      <c r="Y338" s="8"/>
      <c r="AA338" s="8"/>
      <c r="AC338" s="8"/>
      <c r="AE338" s="8"/>
    </row>
    <row r="339" spans="4:31" x14ac:dyDescent="0.4">
      <c r="D339" s="21">
        <f t="shared" si="19"/>
        <v>0</v>
      </c>
      <c r="E339" s="25">
        <v>337</v>
      </c>
      <c r="F339" s="1">
        <v>11</v>
      </c>
      <c r="G339" s="1">
        <f>VLOOKUP(F339,監督フォーメーション!$A$2:$C$15,3,FALSE)</f>
        <v>4213</v>
      </c>
      <c r="K339" s="9"/>
      <c r="M339" s="9"/>
      <c r="N339" s="1">
        <f t="shared" si="21"/>
        <v>0</v>
      </c>
      <c r="O339" s="1">
        <f t="shared" si="18"/>
        <v>0</v>
      </c>
      <c r="P339" s="1" t="str">
        <f t="shared" si="20"/>
        <v>引</v>
      </c>
      <c r="S339" s="8"/>
      <c r="U339" s="8"/>
      <c r="W339" s="8"/>
      <c r="Y339" s="8"/>
      <c r="AA339" s="8"/>
      <c r="AC339" s="8"/>
      <c r="AE339" s="8"/>
    </row>
    <row r="340" spans="4:31" x14ac:dyDescent="0.4">
      <c r="D340" s="21">
        <f t="shared" si="19"/>
        <v>0</v>
      </c>
      <c r="E340" s="25">
        <v>338</v>
      </c>
      <c r="F340" s="1">
        <v>11</v>
      </c>
      <c r="G340" s="1">
        <f>VLOOKUP(F340,監督フォーメーション!$A$2:$C$15,3,FALSE)</f>
        <v>4213</v>
      </c>
      <c r="K340" s="9"/>
      <c r="M340" s="9"/>
      <c r="N340" s="1">
        <f t="shared" si="21"/>
        <v>0</v>
      </c>
      <c r="O340" s="1">
        <f t="shared" si="18"/>
        <v>0</v>
      </c>
      <c r="P340" s="1" t="str">
        <f t="shared" si="20"/>
        <v>引</v>
      </c>
      <c r="S340" s="8"/>
      <c r="U340" s="8"/>
      <c r="W340" s="8"/>
      <c r="Y340" s="8"/>
      <c r="AA340" s="8"/>
      <c r="AC340" s="8"/>
      <c r="AE340" s="8"/>
    </row>
    <row r="341" spans="4:31" x14ac:dyDescent="0.4">
      <c r="D341" s="21">
        <f t="shared" si="19"/>
        <v>0</v>
      </c>
      <c r="E341" s="25">
        <v>339</v>
      </c>
      <c r="F341" s="1">
        <v>11</v>
      </c>
      <c r="G341" s="1">
        <f>VLOOKUP(F341,監督フォーメーション!$A$2:$C$15,3,FALSE)</f>
        <v>4213</v>
      </c>
      <c r="K341" s="9"/>
      <c r="M341" s="9"/>
      <c r="N341" s="1">
        <f t="shared" si="21"/>
        <v>0</v>
      </c>
      <c r="O341" s="1">
        <f t="shared" si="18"/>
        <v>0</v>
      </c>
      <c r="P341" s="1" t="str">
        <f t="shared" si="20"/>
        <v>引</v>
      </c>
      <c r="S341" s="8"/>
      <c r="U341" s="8"/>
      <c r="W341" s="8"/>
      <c r="Y341" s="8"/>
      <c r="AA341" s="8"/>
      <c r="AC341" s="8"/>
      <c r="AE341" s="8"/>
    </row>
    <row r="342" spans="4:31" x14ac:dyDescent="0.4">
      <c r="D342" s="21">
        <f t="shared" si="19"/>
        <v>0</v>
      </c>
      <c r="E342" s="25">
        <v>340</v>
      </c>
      <c r="F342" s="1">
        <v>11</v>
      </c>
      <c r="G342" s="1">
        <f>VLOOKUP(F342,監督フォーメーション!$A$2:$C$15,3,FALSE)</f>
        <v>4213</v>
      </c>
      <c r="K342" s="9"/>
      <c r="M342" s="9"/>
      <c r="N342" s="1">
        <f t="shared" si="21"/>
        <v>0</v>
      </c>
      <c r="O342" s="1">
        <f t="shared" si="18"/>
        <v>0</v>
      </c>
      <c r="P342" s="1" t="str">
        <f t="shared" si="20"/>
        <v>引</v>
      </c>
      <c r="S342" s="8"/>
      <c r="U342" s="8"/>
      <c r="W342" s="8"/>
      <c r="Y342" s="8"/>
      <c r="AA342" s="8"/>
      <c r="AC342" s="8"/>
      <c r="AE342" s="8"/>
    </row>
    <row r="343" spans="4:31" x14ac:dyDescent="0.4">
      <c r="D343" s="21">
        <f t="shared" si="19"/>
        <v>0</v>
      </c>
      <c r="E343" s="25">
        <v>341</v>
      </c>
      <c r="F343" s="1">
        <v>11</v>
      </c>
      <c r="G343" s="1">
        <f>VLOOKUP(F343,監督フォーメーション!$A$2:$C$15,3,FALSE)</f>
        <v>4213</v>
      </c>
      <c r="K343" s="9"/>
      <c r="M343" s="9"/>
      <c r="N343" s="1">
        <f t="shared" si="21"/>
        <v>0</v>
      </c>
      <c r="O343" s="1">
        <f t="shared" si="18"/>
        <v>0</v>
      </c>
      <c r="P343" s="1" t="str">
        <f t="shared" si="20"/>
        <v>引</v>
      </c>
      <c r="S343" s="8"/>
      <c r="U343" s="8"/>
      <c r="W343" s="8"/>
      <c r="Y343" s="8"/>
      <c r="AA343" s="8"/>
      <c r="AC343" s="8"/>
      <c r="AE343" s="8"/>
    </row>
    <row r="344" spans="4:31" x14ac:dyDescent="0.4">
      <c r="D344" s="21">
        <f t="shared" si="19"/>
        <v>0</v>
      </c>
      <c r="E344" s="25">
        <v>342</v>
      </c>
      <c r="F344" s="1">
        <v>11</v>
      </c>
      <c r="G344" s="1">
        <f>VLOOKUP(F344,監督フォーメーション!$A$2:$C$15,3,FALSE)</f>
        <v>4213</v>
      </c>
      <c r="K344" s="9"/>
      <c r="M344" s="9"/>
      <c r="N344" s="1">
        <f t="shared" si="21"/>
        <v>0</v>
      </c>
      <c r="O344" s="1">
        <f t="shared" si="18"/>
        <v>0</v>
      </c>
      <c r="P344" s="1" t="str">
        <f t="shared" si="20"/>
        <v>引</v>
      </c>
      <c r="S344" s="8"/>
      <c r="U344" s="8"/>
      <c r="W344" s="8"/>
      <c r="Y344" s="8"/>
      <c r="AA344" s="8"/>
      <c r="AC344" s="8"/>
      <c r="AE344" s="8"/>
    </row>
    <row r="345" spans="4:31" x14ac:dyDescent="0.4">
      <c r="D345" s="21">
        <f t="shared" si="19"/>
        <v>0</v>
      </c>
      <c r="E345" s="25">
        <v>343</v>
      </c>
      <c r="F345" s="1">
        <v>11</v>
      </c>
      <c r="G345" s="1">
        <f>VLOOKUP(F345,監督フォーメーション!$A$2:$C$15,3,FALSE)</f>
        <v>4213</v>
      </c>
      <c r="K345" s="9"/>
      <c r="M345" s="9"/>
      <c r="N345" s="1">
        <f t="shared" si="21"/>
        <v>0</v>
      </c>
      <c r="O345" s="1">
        <f t="shared" si="18"/>
        <v>0</v>
      </c>
      <c r="P345" s="1" t="str">
        <f t="shared" si="20"/>
        <v>引</v>
      </c>
      <c r="S345" s="8"/>
      <c r="U345" s="8"/>
      <c r="W345" s="8"/>
      <c r="Y345" s="8"/>
      <c r="AA345" s="8"/>
      <c r="AC345" s="8"/>
      <c r="AE345" s="8"/>
    </row>
    <row r="346" spans="4:31" x14ac:dyDescent="0.4">
      <c r="D346" s="21">
        <f t="shared" si="19"/>
        <v>0</v>
      </c>
      <c r="E346" s="25">
        <v>344</v>
      </c>
      <c r="F346" s="1">
        <v>11</v>
      </c>
      <c r="G346" s="1">
        <f>VLOOKUP(F346,監督フォーメーション!$A$2:$C$15,3,FALSE)</f>
        <v>4213</v>
      </c>
      <c r="K346" s="9"/>
      <c r="M346" s="9"/>
      <c r="N346" s="1">
        <f t="shared" si="21"/>
        <v>0</v>
      </c>
      <c r="O346" s="1">
        <f t="shared" si="18"/>
        <v>0</v>
      </c>
      <c r="P346" s="1" t="str">
        <f t="shared" si="20"/>
        <v>引</v>
      </c>
      <c r="S346" s="8"/>
      <c r="U346" s="8"/>
      <c r="W346" s="8"/>
      <c r="Y346" s="8"/>
      <c r="AA346" s="8"/>
      <c r="AC346" s="8"/>
      <c r="AE346" s="8"/>
    </row>
    <row r="347" spans="4:31" x14ac:dyDescent="0.4">
      <c r="D347" s="21">
        <f t="shared" si="19"/>
        <v>0</v>
      </c>
      <c r="E347" s="25">
        <v>345</v>
      </c>
      <c r="F347" s="1">
        <v>11</v>
      </c>
      <c r="G347" s="1">
        <f>VLOOKUP(F347,監督フォーメーション!$A$2:$C$15,3,FALSE)</f>
        <v>4213</v>
      </c>
      <c r="K347" s="9"/>
      <c r="M347" s="9"/>
      <c r="N347" s="1">
        <f t="shared" si="21"/>
        <v>0</v>
      </c>
      <c r="O347" s="1">
        <f t="shared" si="18"/>
        <v>0</v>
      </c>
      <c r="P347" s="1" t="str">
        <f t="shared" si="20"/>
        <v>引</v>
      </c>
      <c r="S347" s="8"/>
      <c r="U347" s="8"/>
      <c r="W347" s="8"/>
      <c r="Y347" s="8"/>
      <c r="AA347" s="8"/>
      <c r="AC347" s="8"/>
      <c r="AE347" s="8"/>
    </row>
    <row r="348" spans="4:31" x14ac:dyDescent="0.4">
      <c r="D348" s="21">
        <f t="shared" si="19"/>
        <v>0</v>
      </c>
      <c r="E348" s="25">
        <v>346</v>
      </c>
      <c r="F348" s="1">
        <v>11</v>
      </c>
      <c r="G348" s="1">
        <f>VLOOKUP(F348,監督フォーメーション!$A$2:$C$15,3,FALSE)</f>
        <v>4213</v>
      </c>
      <c r="K348" s="9"/>
      <c r="M348" s="9"/>
      <c r="N348" s="1">
        <f t="shared" si="21"/>
        <v>0</v>
      </c>
      <c r="O348" s="1">
        <f t="shared" si="18"/>
        <v>0</v>
      </c>
      <c r="P348" s="1" t="str">
        <f t="shared" si="20"/>
        <v>引</v>
      </c>
      <c r="S348" s="8"/>
      <c r="U348" s="8"/>
      <c r="W348" s="8"/>
      <c r="Y348" s="8"/>
      <c r="AA348" s="8"/>
      <c r="AC348" s="8"/>
      <c r="AE348" s="8"/>
    </row>
    <row r="349" spans="4:31" x14ac:dyDescent="0.4">
      <c r="D349" s="21">
        <f t="shared" si="19"/>
        <v>0</v>
      </c>
      <c r="E349" s="25">
        <v>347</v>
      </c>
      <c r="F349" s="1">
        <v>11</v>
      </c>
      <c r="G349" s="1">
        <f>VLOOKUP(F349,監督フォーメーション!$A$2:$C$15,3,FALSE)</f>
        <v>4213</v>
      </c>
      <c r="K349" s="9"/>
      <c r="M349" s="9"/>
      <c r="N349" s="1">
        <f t="shared" si="21"/>
        <v>0</v>
      </c>
      <c r="O349" s="1">
        <f t="shared" si="18"/>
        <v>0</v>
      </c>
      <c r="P349" s="1" t="str">
        <f t="shared" si="20"/>
        <v>引</v>
      </c>
      <c r="S349" s="8"/>
      <c r="U349" s="8"/>
      <c r="W349" s="8"/>
      <c r="Y349" s="8"/>
      <c r="AA349" s="8"/>
      <c r="AC349" s="8"/>
      <c r="AE349" s="8"/>
    </row>
    <row r="350" spans="4:31" x14ac:dyDescent="0.4">
      <c r="D350" s="21">
        <f t="shared" si="19"/>
        <v>0</v>
      </c>
      <c r="E350" s="25">
        <v>348</v>
      </c>
      <c r="F350" s="1">
        <v>11</v>
      </c>
      <c r="G350" s="1">
        <f>VLOOKUP(F350,監督フォーメーション!$A$2:$C$15,3,FALSE)</f>
        <v>4213</v>
      </c>
      <c r="K350" s="9"/>
      <c r="M350" s="9"/>
      <c r="N350" s="1">
        <f t="shared" si="21"/>
        <v>0</v>
      </c>
      <c r="O350" s="1">
        <f t="shared" ref="O350:O413" si="22">COUNTIF(Q350:AG350, "=失点")</f>
        <v>0</v>
      </c>
      <c r="P350" s="1" t="str">
        <f t="shared" si="20"/>
        <v>引</v>
      </c>
      <c r="S350" s="8"/>
      <c r="U350" s="8"/>
      <c r="W350" s="8"/>
      <c r="Y350" s="8"/>
      <c r="AA350" s="8"/>
      <c r="AC350" s="8"/>
      <c r="AE350" s="8"/>
    </row>
    <row r="351" spans="4:31" x14ac:dyDescent="0.4">
      <c r="D351" s="21">
        <f t="shared" si="19"/>
        <v>0</v>
      </c>
      <c r="E351" s="25">
        <v>349</v>
      </c>
      <c r="F351" s="1">
        <v>11</v>
      </c>
      <c r="G351" s="1">
        <f>VLOOKUP(F351,監督フォーメーション!$A$2:$C$15,3,FALSE)</f>
        <v>4213</v>
      </c>
      <c r="K351" s="9"/>
      <c r="M351" s="9"/>
      <c r="N351" s="1">
        <f t="shared" si="21"/>
        <v>0</v>
      </c>
      <c r="O351" s="1">
        <f t="shared" si="22"/>
        <v>0</v>
      </c>
      <c r="P351" s="1" t="str">
        <f t="shared" si="20"/>
        <v>引</v>
      </c>
      <c r="S351" s="8"/>
      <c r="U351" s="8"/>
      <c r="W351" s="8"/>
      <c r="Y351" s="8"/>
      <c r="AA351" s="8"/>
      <c r="AC351" s="8"/>
      <c r="AE351" s="8"/>
    </row>
    <row r="352" spans="4:31" x14ac:dyDescent="0.4">
      <c r="D352" s="21">
        <f t="shared" si="19"/>
        <v>0</v>
      </c>
      <c r="E352" s="25">
        <v>350</v>
      </c>
      <c r="F352" s="1">
        <v>11</v>
      </c>
      <c r="G352" s="1">
        <f>VLOOKUP(F352,監督フォーメーション!$A$2:$C$15,3,FALSE)</f>
        <v>4213</v>
      </c>
      <c r="K352" s="9"/>
      <c r="M352" s="9"/>
      <c r="N352" s="1">
        <f t="shared" si="21"/>
        <v>0</v>
      </c>
      <c r="O352" s="1">
        <f t="shared" si="22"/>
        <v>0</v>
      </c>
      <c r="P352" s="1" t="str">
        <f t="shared" si="20"/>
        <v>引</v>
      </c>
      <c r="S352" s="8"/>
      <c r="U352" s="8"/>
      <c r="W352" s="8"/>
      <c r="Y352" s="8"/>
      <c r="AA352" s="8"/>
      <c r="AC352" s="8"/>
      <c r="AE352" s="8"/>
    </row>
    <row r="353" spans="4:31" x14ac:dyDescent="0.4">
      <c r="D353" s="21">
        <f t="shared" si="19"/>
        <v>0</v>
      </c>
      <c r="E353" s="25">
        <v>351</v>
      </c>
      <c r="F353" s="1">
        <v>11</v>
      </c>
      <c r="G353" s="1">
        <f>VLOOKUP(F353,監督フォーメーション!$A$2:$C$15,3,FALSE)</f>
        <v>4213</v>
      </c>
      <c r="K353" s="9"/>
      <c r="M353" s="9"/>
      <c r="N353" s="1">
        <f t="shared" si="21"/>
        <v>0</v>
      </c>
      <c r="O353" s="1">
        <f t="shared" si="22"/>
        <v>0</v>
      </c>
      <c r="P353" s="1" t="str">
        <f t="shared" si="20"/>
        <v>引</v>
      </c>
      <c r="S353" s="8"/>
      <c r="U353" s="8"/>
      <c r="W353" s="8"/>
      <c r="Y353" s="8"/>
      <c r="AA353" s="8"/>
      <c r="AC353" s="8"/>
      <c r="AE353" s="8"/>
    </row>
    <row r="354" spans="4:31" x14ac:dyDescent="0.4">
      <c r="D354" s="21">
        <f t="shared" si="19"/>
        <v>0</v>
      </c>
      <c r="E354" s="25">
        <v>352</v>
      </c>
      <c r="F354" s="1">
        <v>11</v>
      </c>
      <c r="G354" s="1">
        <f>VLOOKUP(F354,監督フォーメーション!$A$2:$C$15,3,FALSE)</f>
        <v>4213</v>
      </c>
      <c r="K354" s="9"/>
      <c r="M354" s="9"/>
      <c r="N354" s="1">
        <f t="shared" si="21"/>
        <v>0</v>
      </c>
      <c r="O354" s="1">
        <f t="shared" si="22"/>
        <v>0</v>
      </c>
      <c r="P354" s="1" t="str">
        <f t="shared" si="20"/>
        <v>引</v>
      </c>
      <c r="S354" s="8"/>
      <c r="U354" s="8"/>
      <c r="W354" s="8"/>
      <c r="Y354" s="8"/>
      <c r="AA354" s="8"/>
      <c r="AC354" s="8"/>
      <c r="AE354" s="8"/>
    </row>
    <row r="355" spans="4:31" x14ac:dyDescent="0.4">
      <c r="D355" s="21">
        <f t="shared" si="19"/>
        <v>0</v>
      </c>
      <c r="E355" s="25">
        <v>353</v>
      </c>
      <c r="F355" s="1">
        <v>11</v>
      </c>
      <c r="G355" s="1">
        <f>VLOOKUP(F355,監督フォーメーション!$A$2:$C$15,3,FALSE)</f>
        <v>4213</v>
      </c>
      <c r="K355" s="9"/>
      <c r="M355" s="9"/>
      <c r="N355" s="1">
        <f t="shared" si="21"/>
        <v>0</v>
      </c>
      <c r="O355" s="1">
        <f t="shared" si="22"/>
        <v>0</v>
      </c>
      <c r="P355" s="1" t="str">
        <f t="shared" si="20"/>
        <v>引</v>
      </c>
      <c r="S355" s="8"/>
      <c r="U355" s="8"/>
      <c r="W355" s="8"/>
      <c r="Y355" s="8"/>
      <c r="AA355" s="8"/>
      <c r="AC355" s="8"/>
      <c r="AE355" s="8"/>
    </row>
    <row r="356" spans="4:31" x14ac:dyDescent="0.4">
      <c r="D356" s="21">
        <f t="shared" si="19"/>
        <v>0</v>
      </c>
      <c r="E356" s="25">
        <v>354</v>
      </c>
      <c r="F356" s="1">
        <v>11</v>
      </c>
      <c r="G356" s="1">
        <f>VLOOKUP(F356,監督フォーメーション!$A$2:$C$15,3,FALSE)</f>
        <v>4213</v>
      </c>
      <c r="K356" s="9"/>
      <c r="M356" s="9"/>
      <c r="N356" s="1">
        <f t="shared" si="21"/>
        <v>0</v>
      </c>
      <c r="O356" s="1">
        <f t="shared" si="22"/>
        <v>0</v>
      </c>
      <c r="P356" s="1" t="str">
        <f t="shared" si="20"/>
        <v>引</v>
      </c>
      <c r="S356" s="8"/>
      <c r="U356" s="8"/>
      <c r="W356" s="8"/>
      <c r="Y356" s="8"/>
      <c r="AA356" s="8"/>
      <c r="AC356" s="8"/>
      <c r="AE356" s="8"/>
    </row>
    <row r="357" spans="4:31" x14ac:dyDescent="0.4">
      <c r="D357" s="21">
        <f t="shared" si="19"/>
        <v>0</v>
      </c>
      <c r="E357" s="25">
        <v>355</v>
      </c>
      <c r="F357" s="1">
        <v>11</v>
      </c>
      <c r="G357" s="1">
        <f>VLOOKUP(F357,監督フォーメーション!$A$2:$C$15,3,FALSE)</f>
        <v>4213</v>
      </c>
      <c r="K357" s="9"/>
      <c r="M357" s="9"/>
      <c r="N357" s="1">
        <f t="shared" si="21"/>
        <v>0</v>
      </c>
      <c r="O357" s="1">
        <f t="shared" si="22"/>
        <v>0</v>
      </c>
      <c r="P357" s="1" t="str">
        <f t="shared" si="20"/>
        <v>引</v>
      </c>
      <c r="S357" s="8"/>
      <c r="U357" s="8"/>
      <c r="W357" s="8"/>
      <c r="Y357" s="8"/>
      <c r="AA357" s="8"/>
      <c r="AC357" s="8"/>
      <c r="AE357" s="8"/>
    </row>
    <row r="358" spans="4:31" x14ac:dyDescent="0.4">
      <c r="D358" s="21">
        <f t="shared" si="19"/>
        <v>0</v>
      </c>
      <c r="E358" s="25">
        <v>356</v>
      </c>
      <c r="F358" s="1">
        <v>11</v>
      </c>
      <c r="G358" s="1">
        <f>VLOOKUP(F358,監督フォーメーション!$A$2:$C$15,3,FALSE)</f>
        <v>4213</v>
      </c>
      <c r="K358" s="9"/>
      <c r="M358" s="9"/>
      <c r="N358" s="1">
        <f t="shared" si="21"/>
        <v>0</v>
      </c>
      <c r="O358" s="1">
        <f t="shared" si="22"/>
        <v>0</v>
      </c>
      <c r="P358" s="1" t="str">
        <f t="shared" si="20"/>
        <v>引</v>
      </c>
      <c r="S358" s="8"/>
      <c r="U358" s="8"/>
      <c r="W358" s="8"/>
      <c r="Y358" s="8"/>
      <c r="AA358" s="8"/>
      <c r="AC358" s="8"/>
      <c r="AE358" s="8"/>
    </row>
    <row r="359" spans="4:31" x14ac:dyDescent="0.4">
      <c r="D359" s="21">
        <f t="shared" si="19"/>
        <v>0</v>
      </c>
      <c r="E359" s="25">
        <v>357</v>
      </c>
      <c r="F359" s="1">
        <v>11</v>
      </c>
      <c r="G359" s="1">
        <f>VLOOKUP(F359,監督フォーメーション!$A$2:$C$15,3,FALSE)</f>
        <v>4213</v>
      </c>
      <c r="K359" s="9"/>
      <c r="M359" s="9"/>
      <c r="N359" s="1">
        <f t="shared" si="21"/>
        <v>0</v>
      </c>
      <c r="O359" s="1">
        <f t="shared" si="22"/>
        <v>0</v>
      </c>
      <c r="P359" s="1" t="str">
        <f t="shared" si="20"/>
        <v>引</v>
      </c>
      <c r="S359" s="8"/>
      <c r="U359" s="8"/>
      <c r="W359" s="8"/>
      <c r="Y359" s="8"/>
      <c r="AA359" s="8"/>
      <c r="AC359" s="8"/>
      <c r="AE359" s="8"/>
    </row>
    <row r="360" spans="4:31" x14ac:dyDescent="0.4">
      <c r="D360" s="21">
        <f t="shared" si="19"/>
        <v>0</v>
      </c>
      <c r="E360" s="25">
        <v>358</v>
      </c>
      <c r="F360" s="1">
        <v>11</v>
      </c>
      <c r="G360" s="1">
        <f>VLOOKUP(F360,監督フォーメーション!$A$2:$C$15,3,FALSE)</f>
        <v>4213</v>
      </c>
      <c r="K360" s="9"/>
      <c r="M360" s="9"/>
      <c r="N360" s="1">
        <f t="shared" si="21"/>
        <v>0</v>
      </c>
      <c r="O360" s="1">
        <f t="shared" si="22"/>
        <v>0</v>
      </c>
      <c r="P360" s="1" t="str">
        <f t="shared" si="20"/>
        <v>引</v>
      </c>
      <c r="S360" s="8"/>
      <c r="U360" s="8"/>
      <c r="W360" s="8"/>
      <c r="Y360" s="8"/>
      <c r="AA360" s="8"/>
      <c r="AC360" s="8"/>
      <c r="AE360" s="8"/>
    </row>
    <row r="361" spans="4:31" x14ac:dyDescent="0.4">
      <c r="D361" s="21">
        <f t="shared" si="19"/>
        <v>0</v>
      </c>
      <c r="E361" s="25">
        <v>359</v>
      </c>
      <c r="F361" s="1">
        <v>11</v>
      </c>
      <c r="G361" s="1">
        <f>VLOOKUP(F361,監督フォーメーション!$A$2:$C$15,3,FALSE)</f>
        <v>4213</v>
      </c>
      <c r="K361" s="9"/>
      <c r="M361" s="9"/>
      <c r="N361" s="1">
        <f t="shared" si="21"/>
        <v>0</v>
      </c>
      <c r="O361" s="1">
        <f t="shared" si="22"/>
        <v>0</v>
      </c>
      <c r="P361" s="1" t="str">
        <f t="shared" si="20"/>
        <v>引</v>
      </c>
      <c r="S361" s="8"/>
      <c r="U361" s="8"/>
      <c r="W361" s="8"/>
      <c r="Y361" s="8"/>
      <c r="AA361" s="8"/>
      <c r="AC361" s="8"/>
      <c r="AE361" s="8"/>
    </row>
    <row r="362" spans="4:31" x14ac:dyDescent="0.4">
      <c r="D362" s="21">
        <f t="shared" si="19"/>
        <v>0</v>
      </c>
      <c r="E362" s="25">
        <v>360</v>
      </c>
      <c r="F362" s="1">
        <v>11</v>
      </c>
      <c r="G362" s="1">
        <f>VLOOKUP(F362,監督フォーメーション!$A$2:$C$15,3,FALSE)</f>
        <v>4213</v>
      </c>
      <c r="K362" s="9"/>
      <c r="M362" s="9"/>
      <c r="N362" s="1">
        <f t="shared" si="21"/>
        <v>0</v>
      </c>
      <c r="O362" s="1">
        <f t="shared" si="22"/>
        <v>0</v>
      </c>
      <c r="P362" s="1" t="str">
        <f t="shared" si="20"/>
        <v>引</v>
      </c>
      <c r="S362" s="8"/>
      <c r="U362" s="8"/>
      <c r="W362" s="8"/>
      <c r="Y362" s="8"/>
      <c r="AA362" s="8"/>
      <c r="AC362" s="8"/>
      <c r="AE362" s="8"/>
    </row>
    <row r="363" spans="4:31" x14ac:dyDescent="0.4">
      <c r="D363" s="21">
        <f t="shared" ref="D363:D426" si="23">B363+C363</f>
        <v>0</v>
      </c>
      <c r="E363" s="25">
        <v>361</v>
      </c>
      <c r="F363" s="1">
        <v>11</v>
      </c>
      <c r="G363" s="1">
        <f>VLOOKUP(F363,監督フォーメーション!$A$2:$C$15,3,FALSE)</f>
        <v>4213</v>
      </c>
      <c r="K363" s="9"/>
      <c r="M363" s="9"/>
      <c r="N363" s="1">
        <f t="shared" si="21"/>
        <v>0</v>
      </c>
      <c r="O363" s="1">
        <f t="shared" si="22"/>
        <v>0</v>
      </c>
      <c r="P363" s="1" t="str">
        <f t="shared" si="20"/>
        <v>引</v>
      </c>
      <c r="S363" s="8"/>
      <c r="U363" s="8"/>
      <c r="W363" s="8"/>
      <c r="Y363" s="8"/>
      <c r="AA363" s="8"/>
      <c r="AC363" s="8"/>
      <c r="AE363" s="8"/>
    </row>
    <row r="364" spans="4:31" x14ac:dyDescent="0.4">
      <c r="D364" s="21">
        <f t="shared" si="23"/>
        <v>0</v>
      </c>
      <c r="E364" s="25">
        <v>362</v>
      </c>
      <c r="F364" s="1">
        <v>11</v>
      </c>
      <c r="G364" s="1">
        <f>VLOOKUP(F364,監督フォーメーション!$A$2:$C$15,3,FALSE)</f>
        <v>4213</v>
      </c>
      <c r="K364" s="9"/>
      <c r="M364" s="9"/>
      <c r="N364" s="1">
        <f t="shared" si="21"/>
        <v>0</v>
      </c>
      <c r="O364" s="1">
        <f t="shared" si="22"/>
        <v>0</v>
      </c>
      <c r="P364" s="1" t="str">
        <f t="shared" si="20"/>
        <v>引</v>
      </c>
      <c r="S364" s="8"/>
      <c r="U364" s="8"/>
      <c r="W364" s="8"/>
      <c r="Y364" s="8"/>
      <c r="AA364" s="8"/>
      <c r="AC364" s="8"/>
      <c r="AE364" s="8"/>
    </row>
    <row r="365" spans="4:31" x14ac:dyDescent="0.4">
      <c r="D365" s="21">
        <f t="shared" si="23"/>
        <v>0</v>
      </c>
      <c r="E365" s="25">
        <v>363</v>
      </c>
      <c r="F365" s="1">
        <v>11</v>
      </c>
      <c r="G365" s="1">
        <f>VLOOKUP(F365,監督フォーメーション!$A$2:$C$15,3,FALSE)</f>
        <v>4213</v>
      </c>
      <c r="K365" s="9"/>
      <c r="M365" s="9"/>
      <c r="N365" s="1">
        <f t="shared" si="21"/>
        <v>0</v>
      </c>
      <c r="O365" s="1">
        <f t="shared" si="22"/>
        <v>0</v>
      </c>
      <c r="P365" s="1" t="str">
        <f t="shared" si="20"/>
        <v>引</v>
      </c>
      <c r="S365" s="8"/>
      <c r="U365" s="8"/>
      <c r="W365" s="8"/>
      <c r="Y365" s="8"/>
      <c r="AA365" s="8"/>
      <c r="AC365" s="8"/>
      <c r="AE365" s="8"/>
    </row>
    <row r="366" spans="4:31" x14ac:dyDescent="0.4">
      <c r="D366" s="21">
        <f t="shared" si="23"/>
        <v>0</v>
      </c>
      <c r="E366" s="25">
        <v>364</v>
      </c>
      <c r="F366" s="1">
        <v>11</v>
      </c>
      <c r="G366" s="1">
        <f>VLOOKUP(F366,監督フォーメーション!$A$2:$C$15,3,FALSE)</f>
        <v>4213</v>
      </c>
      <c r="K366" s="9"/>
      <c r="M366" s="9"/>
      <c r="N366" s="1">
        <f t="shared" si="21"/>
        <v>0</v>
      </c>
      <c r="O366" s="1">
        <f t="shared" si="22"/>
        <v>0</v>
      </c>
      <c r="P366" s="1" t="str">
        <f t="shared" si="20"/>
        <v>引</v>
      </c>
      <c r="S366" s="8"/>
      <c r="U366" s="8"/>
      <c r="W366" s="8"/>
      <c r="Y366" s="8"/>
      <c r="AA366" s="8"/>
      <c r="AC366" s="8"/>
      <c r="AE366" s="8"/>
    </row>
    <row r="367" spans="4:31" x14ac:dyDescent="0.4">
      <c r="D367" s="21">
        <f t="shared" si="23"/>
        <v>0</v>
      </c>
      <c r="E367" s="25">
        <v>365</v>
      </c>
      <c r="F367" s="1">
        <v>11</v>
      </c>
      <c r="G367" s="1">
        <f>VLOOKUP(F367,監督フォーメーション!$A$2:$C$15,3,FALSE)</f>
        <v>4213</v>
      </c>
      <c r="K367" s="9"/>
      <c r="M367" s="9"/>
      <c r="N367" s="1">
        <f t="shared" si="21"/>
        <v>0</v>
      </c>
      <c r="O367" s="1">
        <f t="shared" si="22"/>
        <v>0</v>
      </c>
      <c r="P367" s="1" t="str">
        <f t="shared" si="20"/>
        <v>引</v>
      </c>
      <c r="S367" s="8"/>
      <c r="U367" s="8"/>
      <c r="W367" s="8"/>
      <c r="Y367" s="8"/>
      <c r="AA367" s="8"/>
      <c r="AC367" s="8"/>
      <c r="AE367" s="8"/>
    </row>
    <row r="368" spans="4:31" x14ac:dyDescent="0.4">
      <c r="D368" s="21">
        <f t="shared" si="23"/>
        <v>0</v>
      </c>
      <c r="E368" s="25">
        <v>366</v>
      </c>
      <c r="F368" s="1">
        <v>11</v>
      </c>
      <c r="G368" s="1">
        <f>VLOOKUP(F368,監督フォーメーション!$A$2:$C$15,3,FALSE)</f>
        <v>4213</v>
      </c>
      <c r="K368" s="9"/>
      <c r="M368" s="9"/>
      <c r="N368" s="1">
        <f t="shared" si="21"/>
        <v>0</v>
      </c>
      <c r="O368" s="1">
        <f t="shared" si="22"/>
        <v>0</v>
      </c>
      <c r="P368" s="1" t="str">
        <f t="shared" si="20"/>
        <v>引</v>
      </c>
      <c r="S368" s="8"/>
      <c r="U368" s="8"/>
      <c r="W368" s="8"/>
      <c r="Y368" s="8"/>
      <c r="AA368" s="8"/>
      <c r="AC368" s="8"/>
      <c r="AE368" s="8"/>
    </row>
    <row r="369" spans="4:31" x14ac:dyDescent="0.4">
      <c r="D369" s="21">
        <f t="shared" si="23"/>
        <v>0</v>
      </c>
      <c r="E369" s="25">
        <v>367</v>
      </c>
      <c r="F369" s="1">
        <v>11</v>
      </c>
      <c r="G369" s="1">
        <f>VLOOKUP(F369,監督フォーメーション!$A$2:$C$15,3,FALSE)</f>
        <v>4213</v>
      </c>
      <c r="K369" s="9"/>
      <c r="M369" s="9"/>
      <c r="N369" s="1">
        <f t="shared" si="21"/>
        <v>0</v>
      </c>
      <c r="O369" s="1">
        <f t="shared" si="22"/>
        <v>0</v>
      </c>
      <c r="P369" s="1" t="str">
        <f t="shared" si="20"/>
        <v>引</v>
      </c>
      <c r="S369" s="8"/>
      <c r="U369" s="8"/>
      <c r="W369" s="8"/>
      <c r="Y369" s="8"/>
      <c r="AA369" s="8"/>
      <c r="AC369" s="8"/>
      <c r="AE369" s="8"/>
    </row>
    <row r="370" spans="4:31" x14ac:dyDescent="0.4">
      <c r="D370" s="21">
        <f t="shared" si="23"/>
        <v>0</v>
      </c>
      <c r="E370" s="25">
        <v>368</v>
      </c>
      <c r="F370" s="1">
        <v>11</v>
      </c>
      <c r="G370" s="1">
        <f>VLOOKUP(F370,監督フォーメーション!$A$2:$C$15,3,FALSE)</f>
        <v>4213</v>
      </c>
      <c r="K370" s="9"/>
      <c r="M370" s="9"/>
      <c r="N370" s="1">
        <f t="shared" si="21"/>
        <v>0</v>
      </c>
      <c r="O370" s="1">
        <f t="shared" si="22"/>
        <v>0</v>
      </c>
      <c r="P370" s="1" t="str">
        <f t="shared" si="20"/>
        <v>引</v>
      </c>
      <c r="S370" s="8"/>
      <c r="U370" s="8"/>
      <c r="W370" s="8"/>
      <c r="Y370" s="8"/>
      <c r="AA370" s="8"/>
      <c r="AC370" s="8"/>
      <c r="AE370" s="8"/>
    </row>
    <row r="371" spans="4:31" x14ac:dyDescent="0.4">
      <c r="D371" s="21">
        <f t="shared" si="23"/>
        <v>0</v>
      </c>
      <c r="E371" s="25">
        <v>369</v>
      </c>
      <c r="F371" s="1">
        <v>11</v>
      </c>
      <c r="G371" s="1">
        <f>VLOOKUP(F371,監督フォーメーション!$A$2:$C$15,3,FALSE)</f>
        <v>4213</v>
      </c>
      <c r="K371" s="9"/>
      <c r="M371" s="9"/>
      <c r="N371" s="1">
        <f t="shared" si="21"/>
        <v>0</v>
      </c>
      <c r="O371" s="1">
        <f t="shared" si="22"/>
        <v>0</v>
      </c>
      <c r="P371" s="1" t="str">
        <f t="shared" si="20"/>
        <v>引</v>
      </c>
      <c r="S371" s="8"/>
      <c r="U371" s="8"/>
      <c r="W371" s="8"/>
      <c r="Y371" s="8"/>
      <c r="AA371" s="8"/>
      <c r="AC371" s="8"/>
      <c r="AE371" s="8"/>
    </row>
    <row r="372" spans="4:31" x14ac:dyDescent="0.4">
      <c r="D372" s="21">
        <f t="shared" si="23"/>
        <v>0</v>
      </c>
      <c r="E372" s="25">
        <v>370</v>
      </c>
      <c r="F372" s="1">
        <v>11</v>
      </c>
      <c r="G372" s="1">
        <f>VLOOKUP(F372,監督フォーメーション!$A$2:$C$15,3,FALSE)</f>
        <v>4213</v>
      </c>
      <c r="K372" s="9"/>
      <c r="M372" s="9"/>
      <c r="N372" s="1">
        <f t="shared" si="21"/>
        <v>0</v>
      </c>
      <c r="O372" s="1">
        <f t="shared" si="22"/>
        <v>0</v>
      </c>
      <c r="P372" s="1" t="str">
        <f t="shared" si="20"/>
        <v>引</v>
      </c>
      <c r="S372" s="8"/>
      <c r="U372" s="8"/>
      <c r="W372" s="8"/>
      <c r="Y372" s="8"/>
      <c r="AA372" s="8"/>
      <c r="AC372" s="8"/>
      <c r="AE372" s="8"/>
    </row>
    <row r="373" spans="4:31" x14ac:dyDescent="0.4">
      <c r="D373" s="21">
        <f t="shared" si="23"/>
        <v>0</v>
      </c>
      <c r="E373" s="25">
        <v>371</v>
      </c>
      <c r="F373" s="1">
        <v>11</v>
      </c>
      <c r="G373" s="1">
        <f>VLOOKUP(F373,監督フォーメーション!$A$2:$C$15,3,FALSE)</f>
        <v>4213</v>
      </c>
      <c r="K373" s="9"/>
      <c r="M373" s="9"/>
      <c r="N373" s="1">
        <f t="shared" si="21"/>
        <v>0</v>
      </c>
      <c r="O373" s="1">
        <f t="shared" si="22"/>
        <v>0</v>
      </c>
      <c r="P373" s="1" t="str">
        <f t="shared" si="20"/>
        <v>引</v>
      </c>
      <c r="S373" s="8"/>
      <c r="U373" s="8"/>
      <c r="W373" s="8"/>
      <c r="Y373" s="8"/>
      <c r="AA373" s="8"/>
      <c r="AC373" s="8"/>
      <c r="AE373" s="8"/>
    </row>
    <row r="374" spans="4:31" x14ac:dyDescent="0.4">
      <c r="D374" s="21">
        <f t="shared" si="23"/>
        <v>0</v>
      </c>
      <c r="E374" s="25">
        <v>372</v>
      </c>
      <c r="F374" s="1">
        <v>11</v>
      </c>
      <c r="G374" s="1">
        <f>VLOOKUP(F374,監督フォーメーション!$A$2:$C$15,3,FALSE)</f>
        <v>4213</v>
      </c>
      <c r="K374" s="9"/>
      <c r="M374" s="9"/>
      <c r="N374" s="1">
        <f t="shared" si="21"/>
        <v>0</v>
      </c>
      <c r="O374" s="1">
        <f t="shared" si="22"/>
        <v>0</v>
      </c>
      <c r="P374" s="1" t="str">
        <f t="shared" si="20"/>
        <v>引</v>
      </c>
      <c r="S374" s="8"/>
      <c r="U374" s="8"/>
      <c r="W374" s="8"/>
      <c r="Y374" s="8"/>
      <c r="AA374" s="8"/>
      <c r="AC374" s="8"/>
      <c r="AE374" s="8"/>
    </row>
    <row r="375" spans="4:31" x14ac:dyDescent="0.4">
      <c r="D375" s="21">
        <f t="shared" si="23"/>
        <v>0</v>
      </c>
      <c r="E375" s="25">
        <v>373</v>
      </c>
      <c r="F375" s="1">
        <v>11</v>
      </c>
      <c r="G375" s="1">
        <f>VLOOKUP(F375,監督フォーメーション!$A$2:$C$15,3,FALSE)</f>
        <v>4213</v>
      </c>
      <c r="K375" s="9"/>
      <c r="M375" s="9"/>
      <c r="N375" s="1">
        <f t="shared" si="21"/>
        <v>0</v>
      </c>
      <c r="O375" s="1">
        <f t="shared" si="22"/>
        <v>0</v>
      </c>
      <c r="P375" s="1" t="str">
        <f t="shared" si="20"/>
        <v>引</v>
      </c>
      <c r="S375" s="8"/>
      <c r="U375" s="8"/>
      <c r="W375" s="8"/>
      <c r="Y375" s="8"/>
      <c r="AA375" s="8"/>
      <c r="AC375" s="8"/>
      <c r="AE375" s="8"/>
    </row>
    <row r="376" spans="4:31" x14ac:dyDescent="0.4">
      <c r="D376" s="21">
        <f t="shared" si="23"/>
        <v>0</v>
      </c>
      <c r="E376" s="25">
        <v>374</v>
      </c>
      <c r="F376" s="1">
        <v>11</v>
      </c>
      <c r="G376" s="1">
        <f>VLOOKUP(F376,監督フォーメーション!$A$2:$C$15,3,FALSE)</f>
        <v>4213</v>
      </c>
      <c r="K376" s="9"/>
      <c r="M376" s="9"/>
      <c r="N376" s="1">
        <f t="shared" si="21"/>
        <v>0</v>
      </c>
      <c r="O376" s="1">
        <f t="shared" si="22"/>
        <v>0</v>
      </c>
      <c r="P376" s="1" t="str">
        <f t="shared" si="20"/>
        <v>引</v>
      </c>
      <c r="S376" s="8"/>
      <c r="U376" s="8"/>
      <c r="W376" s="8"/>
      <c r="Y376" s="8"/>
      <c r="AA376" s="8"/>
      <c r="AC376" s="8"/>
      <c r="AE376" s="8"/>
    </row>
    <row r="377" spans="4:31" x14ac:dyDescent="0.4">
      <c r="D377" s="21">
        <f t="shared" si="23"/>
        <v>0</v>
      </c>
      <c r="E377" s="25">
        <v>375</v>
      </c>
      <c r="F377" s="1">
        <v>11</v>
      </c>
      <c r="G377" s="1">
        <f>VLOOKUP(F377,監督フォーメーション!$A$2:$C$15,3,FALSE)</f>
        <v>4213</v>
      </c>
      <c r="K377" s="9"/>
      <c r="M377" s="9"/>
      <c r="N377" s="1">
        <f t="shared" si="21"/>
        <v>0</v>
      </c>
      <c r="O377" s="1">
        <f t="shared" si="22"/>
        <v>0</v>
      </c>
      <c r="P377" s="1" t="str">
        <f t="shared" si="20"/>
        <v>引</v>
      </c>
      <c r="S377" s="8"/>
      <c r="U377" s="8"/>
      <c r="W377" s="8"/>
      <c r="Y377" s="8"/>
      <c r="AA377" s="8"/>
      <c r="AC377" s="8"/>
      <c r="AE377" s="8"/>
    </row>
    <row r="378" spans="4:31" x14ac:dyDescent="0.4">
      <c r="D378" s="21">
        <f t="shared" si="23"/>
        <v>0</v>
      </c>
      <c r="E378" s="25">
        <v>376</v>
      </c>
      <c r="F378" s="1">
        <v>11</v>
      </c>
      <c r="G378" s="1">
        <f>VLOOKUP(F378,監督フォーメーション!$A$2:$C$15,3,FALSE)</f>
        <v>4213</v>
      </c>
      <c r="K378" s="9"/>
      <c r="M378" s="9"/>
      <c r="N378" s="1">
        <f t="shared" si="21"/>
        <v>0</v>
      </c>
      <c r="O378" s="1">
        <f t="shared" si="22"/>
        <v>0</v>
      </c>
      <c r="P378" s="1" t="str">
        <f t="shared" si="20"/>
        <v>引</v>
      </c>
      <c r="S378" s="8"/>
      <c r="U378" s="8"/>
      <c r="W378" s="8"/>
      <c r="Y378" s="8"/>
      <c r="AA378" s="8"/>
      <c r="AC378" s="8"/>
      <c r="AE378" s="8"/>
    </row>
    <row r="379" spans="4:31" x14ac:dyDescent="0.4">
      <c r="D379" s="21">
        <f t="shared" si="23"/>
        <v>0</v>
      </c>
      <c r="E379" s="25">
        <v>377</v>
      </c>
      <c r="F379" s="1">
        <v>11</v>
      </c>
      <c r="G379" s="1">
        <f>VLOOKUP(F379,監督フォーメーション!$A$2:$C$15,3,FALSE)</f>
        <v>4213</v>
      </c>
      <c r="K379" s="9"/>
      <c r="M379" s="9"/>
      <c r="N379" s="1">
        <f t="shared" si="21"/>
        <v>0</v>
      </c>
      <c r="O379" s="1">
        <f t="shared" si="22"/>
        <v>0</v>
      </c>
      <c r="P379" s="1" t="str">
        <f t="shared" si="20"/>
        <v>引</v>
      </c>
      <c r="S379" s="8"/>
      <c r="U379" s="8"/>
      <c r="W379" s="8"/>
      <c r="Y379" s="8"/>
      <c r="AA379" s="8"/>
      <c r="AC379" s="8"/>
      <c r="AE379" s="8"/>
    </row>
    <row r="380" spans="4:31" x14ac:dyDescent="0.4">
      <c r="D380" s="21">
        <f t="shared" si="23"/>
        <v>0</v>
      </c>
      <c r="E380" s="25">
        <v>378</v>
      </c>
      <c r="F380" s="1">
        <v>11</v>
      </c>
      <c r="G380" s="1">
        <f>VLOOKUP(F380,監督フォーメーション!$A$2:$C$15,3,FALSE)</f>
        <v>4213</v>
      </c>
      <c r="K380" s="9"/>
      <c r="M380" s="9"/>
      <c r="N380" s="1">
        <f t="shared" si="21"/>
        <v>0</v>
      </c>
      <c r="O380" s="1">
        <f t="shared" si="22"/>
        <v>0</v>
      </c>
      <c r="P380" s="1" t="str">
        <f t="shared" si="20"/>
        <v>引</v>
      </c>
      <c r="S380" s="8"/>
      <c r="U380" s="8"/>
      <c r="W380" s="8"/>
      <c r="Y380" s="8"/>
      <c r="AA380" s="8"/>
      <c r="AC380" s="8"/>
      <c r="AE380" s="8"/>
    </row>
    <row r="381" spans="4:31" x14ac:dyDescent="0.4">
      <c r="D381" s="21">
        <f t="shared" si="23"/>
        <v>0</v>
      </c>
      <c r="E381" s="25">
        <v>379</v>
      </c>
      <c r="F381" s="1">
        <v>11</v>
      </c>
      <c r="G381" s="1">
        <f>VLOOKUP(F381,監督フォーメーション!$A$2:$C$15,3,FALSE)</f>
        <v>4213</v>
      </c>
      <c r="K381" s="9"/>
      <c r="M381" s="9"/>
      <c r="N381" s="1">
        <f t="shared" si="21"/>
        <v>0</v>
      </c>
      <c r="O381" s="1">
        <f t="shared" si="22"/>
        <v>0</v>
      </c>
      <c r="P381" s="1" t="str">
        <f t="shared" si="20"/>
        <v>引</v>
      </c>
      <c r="S381" s="8"/>
      <c r="U381" s="8"/>
      <c r="W381" s="8"/>
      <c r="Y381" s="8"/>
      <c r="AA381" s="8"/>
      <c r="AC381" s="8"/>
      <c r="AE381" s="8"/>
    </row>
    <row r="382" spans="4:31" x14ac:dyDescent="0.4">
      <c r="D382" s="21">
        <f t="shared" si="23"/>
        <v>0</v>
      </c>
      <c r="E382" s="25">
        <v>380</v>
      </c>
      <c r="F382" s="1">
        <v>11</v>
      </c>
      <c r="G382" s="1">
        <f>VLOOKUP(F382,監督フォーメーション!$A$2:$C$15,3,FALSE)</f>
        <v>4213</v>
      </c>
      <c r="K382" s="9"/>
      <c r="M382" s="9"/>
      <c r="N382" s="1">
        <f t="shared" si="21"/>
        <v>0</v>
      </c>
      <c r="O382" s="1">
        <f t="shared" si="22"/>
        <v>0</v>
      </c>
      <c r="P382" s="1" t="str">
        <f t="shared" si="20"/>
        <v>引</v>
      </c>
      <c r="S382" s="8"/>
      <c r="U382" s="8"/>
      <c r="W382" s="8"/>
      <c r="Y382" s="8"/>
      <c r="AA382" s="8"/>
      <c r="AC382" s="8"/>
      <c r="AE382" s="8"/>
    </row>
    <row r="383" spans="4:31" x14ac:dyDescent="0.4">
      <c r="D383" s="21">
        <f t="shared" si="23"/>
        <v>0</v>
      </c>
      <c r="E383" s="25">
        <v>381</v>
      </c>
      <c r="F383" s="1">
        <v>11</v>
      </c>
      <c r="G383" s="1">
        <f>VLOOKUP(F383,監督フォーメーション!$A$2:$C$15,3,FALSE)</f>
        <v>4213</v>
      </c>
      <c r="K383" s="9"/>
      <c r="M383" s="9"/>
      <c r="N383" s="1">
        <f t="shared" si="21"/>
        <v>0</v>
      </c>
      <c r="O383" s="1">
        <f t="shared" si="22"/>
        <v>0</v>
      </c>
      <c r="P383" s="1" t="str">
        <f t="shared" si="20"/>
        <v>引</v>
      </c>
      <c r="S383" s="8"/>
      <c r="U383" s="8"/>
      <c r="W383" s="8"/>
      <c r="Y383" s="8"/>
      <c r="AA383" s="8"/>
      <c r="AC383" s="8"/>
      <c r="AE383" s="8"/>
    </row>
    <row r="384" spans="4:31" x14ac:dyDescent="0.4">
      <c r="D384" s="21">
        <f t="shared" si="23"/>
        <v>0</v>
      </c>
      <c r="E384" s="25">
        <v>382</v>
      </c>
      <c r="F384" s="1">
        <v>11</v>
      </c>
      <c r="G384" s="1">
        <f>VLOOKUP(F384,監督フォーメーション!$A$2:$C$15,3,FALSE)</f>
        <v>4213</v>
      </c>
      <c r="K384" s="9"/>
      <c r="M384" s="9"/>
      <c r="N384" s="1">
        <f t="shared" si="21"/>
        <v>0</v>
      </c>
      <c r="O384" s="1">
        <f t="shared" si="22"/>
        <v>0</v>
      </c>
      <c r="P384" s="1" t="str">
        <f t="shared" si="20"/>
        <v>引</v>
      </c>
      <c r="S384" s="8"/>
      <c r="U384" s="8"/>
      <c r="W384" s="8"/>
      <c r="Y384" s="8"/>
      <c r="AA384" s="8"/>
      <c r="AC384" s="8"/>
      <c r="AE384" s="8"/>
    </row>
    <row r="385" spans="4:31" x14ac:dyDescent="0.4">
      <c r="D385" s="21">
        <f t="shared" si="23"/>
        <v>0</v>
      </c>
      <c r="E385" s="25">
        <v>383</v>
      </c>
      <c r="F385" s="1">
        <v>11</v>
      </c>
      <c r="G385" s="1">
        <f>VLOOKUP(F385,監督フォーメーション!$A$2:$C$15,3,FALSE)</f>
        <v>4213</v>
      </c>
      <c r="K385" s="9"/>
      <c r="M385" s="9"/>
      <c r="N385" s="1">
        <f t="shared" si="21"/>
        <v>0</v>
      </c>
      <c r="O385" s="1">
        <f t="shared" si="22"/>
        <v>0</v>
      </c>
      <c r="P385" s="1" t="str">
        <f t="shared" si="20"/>
        <v>引</v>
      </c>
      <c r="S385" s="8"/>
      <c r="U385" s="8"/>
      <c r="W385" s="8"/>
      <c r="Y385" s="8"/>
      <c r="AA385" s="8"/>
      <c r="AC385" s="8"/>
      <c r="AE385" s="8"/>
    </row>
    <row r="386" spans="4:31" x14ac:dyDescent="0.4">
      <c r="D386" s="21">
        <f t="shared" si="23"/>
        <v>0</v>
      </c>
      <c r="E386" s="25">
        <v>384</v>
      </c>
      <c r="F386" s="1">
        <v>11</v>
      </c>
      <c r="G386" s="1">
        <f>VLOOKUP(F386,監督フォーメーション!$A$2:$C$15,3,FALSE)</f>
        <v>4213</v>
      </c>
      <c r="K386" s="9"/>
      <c r="M386" s="9"/>
      <c r="N386" s="1">
        <f t="shared" si="21"/>
        <v>0</v>
      </c>
      <c r="O386" s="1">
        <f t="shared" si="22"/>
        <v>0</v>
      </c>
      <c r="P386" s="1" t="str">
        <f t="shared" si="20"/>
        <v>引</v>
      </c>
      <c r="S386" s="8"/>
      <c r="U386" s="8"/>
      <c r="W386" s="8"/>
      <c r="Y386" s="8"/>
      <c r="AA386" s="8"/>
      <c r="AC386" s="8"/>
      <c r="AE386" s="8"/>
    </row>
    <row r="387" spans="4:31" x14ac:dyDescent="0.4">
      <c r="D387" s="21">
        <f t="shared" si="23"/>
        <v>0</v>
      </c>
      <c r="E387" s="25">
        <v>385</v>
      </c>
      <c r="F387" s="1">
        <v>11</v>
      </c>
      <c r="G387" s="1">
        <f>VLOOKUP(F387,監督フォーメーション!$A$2:$C$15,3,FALSE)</f>
        <v>4213</v>
      </c>
      <c r="K387" s="9"/>
      <c r="M387" s="9"/>
      <c r="N387" s="1">
        <f t="shared" si="21"/>
        <v>0</v>
      </c>
      <c r="O387" s="1">
        <f t="shared" si="22"/>
        <v>0</v>
      </c>
      <c r="P387" s="1" t="str">
        <f t="shared" ref="P387:P450" si="24">IF(N387-O387&gt;0,"勝",IF(N387-O387&lt;0,"負","引"))</f>
        <v>引</v>
      </c>
      <c r="S387" s="8"/>
      <c r="U387" s="8"/>
      <c r="W387" s="8"/>
      <c r="Y387" s="8"/>
      <c r="AA387" s="8"/>
      <c r="AC387" s="8"/>
      <c r="AE387" s="8"/>
    </row>
    <row r="388" spans="4:31" x14ac:dyDescent="0.4">
      <c r="D388" s="21">
        <f t="shared" si="23"/>
        <v>0</v>
      </c>
      <c r="E388" s="25">
        <v>386</v>
      </c>
      <c r="F388" s="1">
        <v>11</v>
      </c>
      <c r="G388" s="1">
        <f>VLOOKUP(F388,監督フォーメーション!$A$2:$C$15,3,FALSE)</f>
        <v>4213</v>
      </c>
      <c r="K388" s="9"/>
      <c r="M388" s="9"/>
      <c r="N388" s="1">
        <f t="shared" si="21"/>
        <v>0</v>
      </c>
      <c r="O388" s="1">
        <f t="shared" si="22"/>
        <v>0</v>
      </c>
      <c r="P388" s="1" t="str">
        <f t="shared" si="24"/>
        <v>引</v>
      </c>
      <c r="S388" s="8"/>
      <c r="U388" s="8"/>
      <c r="W388" s="8"/>
      <c r="Y388" s="8"/>
      <c r="AA388" s="8"/>
      <c r="AC388" s="8"/>
      <c r="AE388" s="8"/>
    </row>
    <row r="389" spans="4:31" x14ac:dyDescent="0.4">
      <c r="D389" s="21">
        <f t="shared" si="23"/>
        <v>0</v>
      </c>
      <c r="E389" s="25">
        <v>387</v>
      </c>
      <c r="F389" s="1">
        <v>11</v>
      </c>
      <c r="G389" s="1">
        <f>VLOOKUP(F389,監督フォーメーション!$A$2:$C$15,3,FALSE)</f>
        <v>4213</v>
      </c>
      <c r="K389" s="9"/>
      <c r="M389" s="9"/>
      <c r="N389" s="1">
        <f t="shared" si="21"/>
        <v>0</v>
      </c>
      <c r="O389" s="1">
        <f t="shared" si="22"/>
        <v>0</v>
      </c>
      <c r="P389" s="1" t="str">
        <f t="shared" si="24"/>
        <v>引</v>
      </c>
      <c r="S389" s="8"/>
      <c r="U389" s="8"/>
      <c r="W389" s="8"/>
      <c r="Y389" s="8"/>
      <c r="AA389" s="8"/>
      <c r="AC389" s="8"/>
      <c r="AE389" s="8"/>
    </row>
    <row r="390" spans="4:31" x14ac:dyDescent="0.4">
      <c r="D390" s="21">
        <f t="shared" si="23"/>
        <v>0</v>
      </c>
      <c r="E390" s="25">
        <v>388</v>
      </c>
      <c r="F390" s="1">
        <v>11</v>
      </c>
      <c r="G390" s="1">
        <f>VLOOKUP(F390,監督フォーメーション!$A$2:$C$15,3,FALSE)</f>
        <v>4213</v>
      </c>
      <c r="K390" s="9"/>
      <c r="M390" s="9"/>
      <c r="N390" s="1">
        <f t="shared" si="21"/>
        <v>0</v>
      </c>
      <c r="O390" s="1">
        <f t="shared" si="22"/>
        <v>0</v>
      </c>
      <c r="P390" s="1" t="str">
        <f t="shared" si="24"/>
        <v>引</v>
      </c>
      <c r="S390" s="8"/>
      <c r="U390" s="8"/>
      <c r="W390" s="8"/>
      <c r="Y390" s="8"/>
      <c r="AA390" s="8"/>
      <c r="AC390" s="8"/>
      <c r="AE390" s="8"/>
    </row>
    <row r="391" spans="4:31" x14ac:dyDescent="0.4">
      <c r="D391" s="21">
        <f t="shared" si="23"/>
        <v>0</v>
      </c>
      <c r="E391" s="25">
        <v>389</v>
      </c>
      <c r="F391" s="1">
        <v>11</v>
      </c>
      <c r="G391" s="1">
        <f>VLOOKUP(F391,監督フォーメーション!$A$2:$C$15,3,FALSE)</f>
        <v>4213</v>
      </c>
      <c r="K391" s="9"/>
      <c r="M391" s="9"/>
      <c r="N391" s="1">
        <f t="shared" si="21"/>
        <v>0</v>
      </c>
      <c r="O391" s="1">
        <f t="shared" si="22"/>
        <v>0</v>
      </c>
      <c r="P391" s="1" t="str">
        <f t="shared" si="24"/>
        <v>引</v>
      </c>
      <c r="S391" s="8"/>
      <c r="U391" s="8"/>
      <c r="W391" s="8"/>
      <c r="Y391" s="8"/>
      <c r="AA391" s="8"/>
      <c r="AC391" s="8"/>
      <c r="AE391" s="8"/>
    </row>
    <row r="392" spans="4:31" x14ac:dyDescent="0.4">
      <c r="D392" s="21">
        <f t="shared" si="23"/>
        <v>0</v>
      </c>
      <c r="E392" s="25">
        <v>390</v>
      </c>
      <c r="F392" s="1">
        <v>11</v>
      </c>
      <c r="G392" s="1">
        <f>VLOOKUP(F392,監督フォーメーション!$A$2:$C$15,3,FALSE)</f>
        <v>4213</v>
      </c>
      <c r="K392" s="9"/>
      <c r="M392" s="9"/>
      <c r="N392" s="1">
        <f t="shared" si="21"/>
        <v>0</v>
      </c>
      <c r="O392" s="1">
        <f t="shared" si="22"/>
        <v>0</v>
      </c>
      <c r="P392" s="1" t="str">
        <f t="shared" si="24"/>
        <v>引</v>
      </c>
      <c r="S392" s="8"/>
      <c r="U392" s="8"/>
      <c r="W392" s="8"/>
      <c r="Y392" s="8"/>
      <c r="AA392" s="8"/>
      <c r="AC392" s="8"/>
      <c r="AE392" s="8"/>
    </row>
    <row r="393" spans="4:31" x14ac:dyDescent="0.4">
      <c r="D393" s="21">
        <f t="shared" si="23"/>
        <v>0</v>
      </c>
      <c r="E393" s="25">
        <v>391</v>
      </c>
      <c r="F393" s="1">
        <v>11</v>
      </c>
      <c r="G393" s="1">
        <f>VLOOKUP(F393,監督フォーメーション!$A$2:$C$15,3,FALSE)</f>
        <v>4213</v>
      </c>
      <c r="K393" s="9"/>
      <c r="M393" s="9"/>
      <c r="N393" s="1">
        <f t="shared" si="21"/>
        <v>0</v>
      </c>
      <c r="O393" s="1">
        <f t="shared" si="22"/>
        <v>0</v>
      </c>
      <c r="P393" s="1" t="str">
        <f t="shared" si="24"/>
        <v>引</v>
      </c>
      <c r="S393" s="8"/>
      <c r="U393" s="8"/>
      <c r="W393" s="8"/>
      <c r="Y393" s="8"/>
      <c r="AA393" s="8"/>
      <c r="AC393" s="8"/>
      <c r="AE393" s="8"/>
    </row>
    <row r="394" spans="4:31" x14ac:dyDescent="0.4">
      <c r="D394" s="21">
        <f t="shared" si="23"/>
        <v>0</v>
      </c>
      <c r="E394" s="25">
        <v>392</v>
      </c>
      <c r="F394" s="1">
        <v>11</v>
      </c>
      <c r="G394" s="1">
        <f>VLOOKUP(F394,監督フォーメーション!$A$2:$C$15,3,FALSE)</f>
        <v>4213</v>
      </c>
      <c r="K394" s="9"/>
      <c r="M394" s="9"/>
      <c r="N394" s="1">
        <f t="shared" si="21"/>
        <v>0</v>
      </c>
      <c r="O394" s="1">
        <f t="shared" si="22"/>
        <v>0</v>
      </c>
      <c r="P394" s="1" t="str">
        <f t="shared" si="24"/>
        <v>引</v>
      </c>
      <c r="S394" s="8"/>
      <c r="U394" s="8"/>
      <c r="W394" s="8"/>
      <c r="Y394" s="8"/>
      <c r="AA394" s="8"/>
      <c r="AC394" s="8"/>
      <c r="AE394" s="8"/>
    </row>
    <row r="395" spans="4:31" x14ac:dyDescent="0.4">
      <c r="D395" s="21">
        <f t="shared" si="23"/>
        <v>0</v>
      </c>
      <c r="E395" s="25">
        <v>393</v>
      </c>
      <c r="F395" s="1">
        <v>11</v>
      </c>
      <c r="G395" s="1">
        <f>VLOOKUP(F395,監督フォーメーション!$A$2:$C$15,3,FALSE)</f>
        <v>4213</v>
      </c>
      <c r="K395" s="9"/>
      <c r="M395" s="9"/>
      <c r="N395" s="1">
        <f t="shared" si="21"/>
        <v>0</v>
      </c>
      <c r="O395" s="1">
        <f t="shared" si="22"/>
        <v>0</v>
      </c>
      <c r="P395" s="1" t="str">
        <f t="shared" si="24"/>
        <v>引</v>
      </c>
      <c r="S395" s="8"/>
      <c r="U395" s="8"/>
      <c r="W395" s="8"/>
      <c r="Y395" s="8"/>
      <c r="AA395" s="8"/>
      <c r="AC395" s="8"/>
      <c r="AE395" s="8"/>
    </row>
    <row r="396" spans="4:31" x14ac:dyDescent="0.4">
      <c r="D396" s="21">
        <f t="shared" si="23"/>
        <v>0</v>
      </c>
      <c r="E396" s="25">
        <v>394</v>
      </c>
      <c r="F396" s="1">
        <v>11</v>
      </c>
      <c r="G396" s="1">
        <f>VLOOKUP(F396,監督フォーメーション!$A$2:$C$15,3,FALSE)</f>
        <v>4213</v>
      </c>
      <c r="K396" s="9"/>
      <c r="M396" s="9"/>
      <c r="N396" s="1">
        <f t="shared" si="21"/>
        <v>0</v>
      </c>
      <c r="O396" s="1">
        <f t="shared" si="22"/>
        <v>0</v>
      </c>
      <c r="P396" s="1" t="str">
        <f t="shared" si="24"/>
        <v>引</v>
      </c>
      <c r="S396" s="8"/>
      <c r="U396" s="8"/>
      <c r="W396" s="8"/>
      <c r="Y396" s="8"/>
      <c r="AA396" s="8"/>
      <c r="AC396" s="8"/>
      <c r="AE396" s="8"/>
    </row>
    <row r="397" spans="4:31" x14ac:dyDescent="0.4">
      <c r="D397" s="21">
        <f t="shared" si="23"/>
        <v>0</v>
      </c>
      <c r="E397" s="25">
        <v>395</v>
      </c>
      <c r="F397" s="1">
        <v>11</v>
      </c>
      <c r="G397" s="1">
        <f>VLOOKUP(F397,監督フォーメーション!$A$2:$C$15,3,FALSE)</f>
        <v>4213</v>
      </c>
      <c r="K397" s="9"/>
      <c r="M397" s="9"/>
      <c r="N397" s="1">
        <f t="shared" si="21"/>
        <v>0</v>
      </c>
      <c r="O397" s="1">
        <f t="shared" si="22"/>
        <v>0</v>
      </c>
      <c r="P397" s="1" t="str">
        <f t="shared" si="24"/>
        <v>引</v>
      </c>
      <c r="S397" s="8"/>
      <c r="U397" s="8"/>
      <c r="W397" s="8"/>
      <c r="Y397" s="8"/>
      <c r="AA397" s="8"/>
      <c r="AC397" s="8"/>
      <c r="AE397" s="8"/>
    </row>
    <row r="398" spans="4:31" x14ac:dyDescent="0.4">
      <c r="D398" s="21">
        <f t="shared" si="23"/>
        <v>0</v>
      </c>
      <c r="E398" s="25">
        <v>396</v>
      </c>
      <c r="F398" s="1">
        <v>11</v>
      </c>
      <c r="G398" s="1">
        <f>VLOOKUP(F398,監督フォーメーション!$A$2:$C$15,3,FALSE)</f>
        <v>4213</v>
      </c>
      <c r="K398" s="9"/>
      <c r="M398" s="9"/>
      <c r="N398" s="1">
        <f t="shared" si="21"/>
        <v>0</v>
      </c>
      <c r="O398" s="1">
        <f t="shared" si="22"/>
        <v>0</v>
      </c>
      <c r="P398" s="1" t="str">
        <f t="shared" si="24"/>
        <v>引</v>
      </c>
      <c r="S398" s="8"/>
      <c r="U398" s="8"/>
      <c r="W398" s="8"/>
      <c r="Y398" s="8"/>
      <c r="AA398" s="8"/>
      <c r="AC398" s="8"/>
      <c r="AE398" s="8"/>
    </row>
    <row r="399" spans="4:31" x14ac:dyDescent="0.4">
      <c r="D399" s="21">
        <f t="shared" si="23"/>
        <v>0</v>
      </c>
      <c r="E399" s="25">
        <v>397</v>
      </c>
      <c r="F399" s="1">
        <v>11</v>
      </c>
      <c r="G399" s="1">
        <f>VLOOKUP(F399,監督フォーメーション!$A$2:$C$15,3,FALSE)</f>
        <v>4213</v>
      </c>
      <c r="K399" s="9"/>
      <c r="M399" s="9"/>
      <c r="N399" s="1">
        <f t="shared" si="21"/>
        <v>0</v>
      </c>
      <c r="O399" s="1">
        <f t="shared" si="22"/>
        <v>0</v>
      </c>
      <c r="P399" s="1" t="str">
        <f t="shared" si="24"/>
        <v>引</v>
      </c>
      <c r="S399" s="8"/>
      <c r="U399" s="8"/>
      <c r="W399" s="8"/>
      <c r="Y399" s="8"/>
      <c r="AA399" s="8"/>
      <c r="AC399" s="8"/>
      <c r="AE399" s="8"/>
    </row>
    <row r="400" spans="4:31" x14ac:dyDescent="0.4">
      <c r="D400" s="21">
        <f t="shared" si="23"/>
        <v>0</v>
      </c>
      <c r="E400" s="25">
        <v>398</v>
      </c>
      <c r="F400" s="1">
        <v>11</v>
      </c>
      <c r="G400" s="1">
        <f>VLOOKUP(F400,監督フォーメーション!$A$2:$C$15,3,FALSE)</f>
        <v>4213</v>
      </c>
      <c r="K400" s="9"/>
      <c r="M400" s="9"/>
      <c r="N400" s="1">
        <f t="shared" ref="N400:N462" si="25">COUNTA(Q400,S400,U400,W400,Y400,AA400,AC400,AE400,AG400)-O400</f>
        <v>0</v>
      </c>
      <c r="O400" s="1">
        <f t="shared" si="22"/>
        <v>0</v>
      </c>
      <c r="P400" s="1" t="str">
        <f t="shared" si="24"/>
        <v>引</v>
      </c>
      <c r="S400" s="8"/>
      <c r="U400" s="8"/>
      <c r="W400" s="8"/>
      <c r="Y400" s="8"/>
      <c r="AA400" s="8"/>
      <c r="AC400" s="8"/>
      <c r="AE400" s="8"/>
    </row>
    <row r="401" spans="4:31" x14ac:dyDescent="0.4">
      <c r="D401" s="21">
        <f t="shared" si="23"/>
        <v>0</v>
      </c>
      <c r="E401" s="25">
        <v>399</v>
      </c>
      <c r="F401" s="1">
        <v>11</v>
      </c>
      <c r="G401" s="1">
        <f>VLOOKUP(F401,監督フォーメーション!$A$2:$C$15,3,FALSE)</f>
        <v>4213</v>
      </c>
      <c r="K401" s="9"/>
      <c r="M401" s="9"/>
      <c r="N401" s="1">
        <f t="shared" si="25"/>
        <v>0</v>
      </c>
      <c r="O401" s="1">
        <f t="shared" si="22"/>
        <v>0</v>
      </c>
      <c r="P401" s="1" t="str">
        <f t="shared" si="24"/>
        <v>引</v>
      </c>
      <c r="S401" s="8"/>
      <c r="U401" s="8"/>
      <c r="W401" s="8"/>
      <c r="Y401" s="8"/>
      <c r="AA401" s="8"/>
      <c r="AC401" s="8"/>
      <c r="AE401" s="8"/>
    </row>
    <row r="402" spans="4:31" x14ac:dyDescent="0.4">
      <c r="D402" s="21">
        <f t="shared" si="23"/>
        <v>0</v>
      </c>
      <c r="E402" s="25">
        <v>400</v>
      </c>
      <c r="F402" s="1">
        <v>11</v>
      </c>
      <c r="G402" s="1">
        <f>VLOOKUP(F402,監督フォーメーション!$A$2:$C$15,3,FALSE)</f>
        <v>4213</v>
      </c>
      <c r="K402" s="9"/>
      <c r="M402" s="9"/>
      <c r="N402" s="1">
        <f t="shared" si="25"/>
        <v>0</v>
      </c>
      <c r="O402" s="1">
        <f t="shared" si="22"/>
        <v>0</v>
      </c>
      <c r="P402" s="1" t="str">
        <f t="shared" si="24"/>
        <v>引</v>
      </c>
      <c r="S402" s="8"/>
      <c r="U402" s="8"/>
      <c r="W402" s="8"/>
      <c r="Y402" s="8"/>
      <c r="AA402" s="8"/>
      <c r="AC402" s="8"/>
      <c r="AE402" s="8"/>
    </row>
    <row r="403" spans="4:31" x14ac:dyDescent="0.4">
      <c r="D403" s="21">
        <f t="shared" si="23"/>
        <v>0</v>
      </c>
      <c r="E403" s="25">
        <v>401</v>
      </c>
      <c r="F403" s="1">
        <v>11</v>
      </c>
      <c r="G403" s="1">
        <f>VLOOKUP(F403,監督フォーメーション!$A$2:$C$15,3,FALSE)</f>
        <v>4213</v>
      </c>
      <c r="K403" s="9"/>
      <c r="M403" s="9"/>
      <c r="N403" s="1">
        <f t="shared" si="25"/>
        <v>0</v>
      </c>
      <c r="O403" s="1">
        <f t="shared" si="22"/>
        <v>0</v>
      </c>
      <c r="P403" s="1" t="str">
        <f t="shared" si="24"/>
        <v>引</v>
      </c>
      <c r="S403" s="8"/>
      <c r="U403" s="8"/>
      <c r="W403" s="8"/>
      <c r="Y403" s="8"/>
      <c r="AA403" s="8"/>
      <c r="AC403" s="8"/>
      <c r="AE403" s="8"/>
    </row>
    <row r="404" spans="4:31" x14ac:dyDescent="0.4">
      <c r="D404" s="21">
        <f t="shared" si="23"/>
        <v>0</v>
      </c>
      <c r="E404" s="25">
        <v>402</v>
      </c>
      <c r="F404" s="1">
        <v>11</v>
      </c>
      <c r="G404" s="1">
        <f>VLOOKUP(F404,監督フォーメーション!$A$2:$C$15,3,FALSE)</f>
        <v>4213</v>
      </c>
      <c r="K404" s="9"/>
      <c r="M404" s="9"/>
      <c r="N404" s="1">
        <f t="shared" si="25"/>
        <v>0</v>
      </c>
      <c r="O404" s="1">
        <f t="shared" si="22"/>
        <v>0</v>
      </c>
      <c r="P404" s="1" t="str">
        <f t="shared" si="24"/>
        <v>引</v>
      </c>
      <c r="S404" s="8"/>
      <c r="U404" s="8"/>
      <c r="W404" s="8"/>
      <c r="Y404" s="8"/>
      <c r="AA404" s="8"/>
      <c r="AC404" s="8"/>
      <c r="AE404" s="8"/>
    </row>
    <row r="405" spans="4:31" x14ac:dyDescent="0.4">
      <c r="D405" s="21">
        <f t="shared" si="23"/>
        <v>0</v>
      </c>
      <c r="E405" s="25">
        <v>403</v>
      </c>
      <c r="F405" s="1">
        <v>11</v>
      </c>
      <c r="G405" s="1">
        <f>VLOOKUP(F405,監督フォーメーション!$A$2:$C$15,3,FALSE)</f>
        <v>4213</v>
      </c>
      <c r="K405" s="9"/>
      <c r="M405" s="9"/>
      <c r="N405" s="1">
        <f t="shared" si="25"/>
        <v>0</v>
      </c>
      <c r="O405" s="1">
        <f t="shared" si="22"/>
        <v>0</v>
      </c>
      <c r="P405" s="1" t="str">
        <f t="shared" si="24"/>
        <v>引</v>
      </c>
      <c r="S405" s="8"/>
      <c r="U405" s="8"/>
      <c r="W405" s="8"/>
      <c r="Y405" s="8"/>
      <c r="AA405" s="8"/>
      <c r="AC405" s="8"/>
      <c r="AE405" s="8"/>
    </row>
    <row r="406" spans="4:31" x14ac:dyDescent="0.4">
      <c r="D406" s="21">
        <f t="shared" si="23"/>
        <v>0</v>
      </c>
      <c r="E406" s="25">
        <v>404</v>
      </c>
      <c r="F406" s="1">
        <v>11</v>
      </c>
      <c r="G406" s="1">
        <f>VLOOKUP(F406,監督フォーメーション!$A$2:$C$15,3,FALSE)</f>
        <v>4213</v>
      </c>
      <c r="K406" s="9"/>
      <c r="M406" s="9"/>
      <c r="N406" s="1">
        <f t="shared" si="25"/>
        <v>0</v>
      </c>
      <c r="O406" s="1">
        <f t="shared" si="22"/>
        <v>0</v>
      </c>
      <c r="P406" s="1" t="str">
        <f t="shared" si="24"/>
        <v>引</v>
      </c>
      <c r="S406" s="8"/>
      <c r="U406" s="8"/>
      <c r="W406" s="8"/>
      <c r="Y406" s="8"/>
      <c r="AA406" s="8"/>
      <c r="AC406" s="8"/>
      <c r="AE406" s="8"/>
    </row>
    <row r="407" spans="4:31" x14ac:dyDescent="0.4">
      <c r="D407" s="21">
        <f t="shared" si="23"/>
        <v>0</v>
      </c>
      <c r="E407" s="25">
        <v>405</v>
      </c>
      <c r="F407" s="1">
        <v>11</v>
      </c>
      <c r="G407" s="1">
        <f>VLOOKUP(F407,監督フォーメーション!$A$2:$C$15,3,FALSE)</f>
        <v>4213</v>
      </c>
      <c r="K407" s="9"/>
      <c r="M407" s="9"/>
      <c r="N407" s="1">
        <f t="shared" si="25"/>
        <v>0</v>
      </c>
      <c r="O407" s="1">
        <f t="shared" si="22"/>
        <v>0</v>
      </c>
      <c r="P407" s="1" t="str">
        <f t="shared" si="24"/>
        <v>引</v>
      </c>
      <c r="S407" s="8"/>
      <c r="U407" s="8"/>
      <c r="W407" s="8"/>
      <c r="Y407" s="8"/>
      <c r="AA407" s="8"/>
      <c r="AC407" s="8"/>
      <c r="AE407" s="8"/>
    </row>
    <row r="408" spans="4:31" x14ac:dyDescent="0.4">
      <c r="D408" s="21">
        <f t="shared" si="23"/>
        <v>0</v>
      </c>
      <c r="E408" s="25">
        <v>406</v>
      </c>
      <c r="F408" s="1">
        <v>11</v>
      </c>
      <c r="G408" s="1">
        <f>VLOOKUP(F408,監督フォーメーション!$A$2:$C$15,3,FALSE)</f>
        <v>4213</v>
      </c>
      <c r="K408" s="9"/>
      <c r="M408" s="9"/>
      <c r="N408" s="1">
        <f t="shared" si="25"/>
        <v>0</v>
      </c>
      <c r="O408" s="1">
        <f t="shared" si="22"/>
        <v>0</v>
      </c>
      <c r="P408" s="1" t="str">
        <f t="shared" si="24"/>
        <v>引</v>
      </c>
      <c r="S408" s="8"/>
      <c r="U408" s="8"/>
      <c r="W408" s="8"/>
      <c r="Y408" s="8"/>
      <c r="AA408" s="8"/>
      <c r="AC408" s="8"/>
      <c r="AE408" s="8"/>
    </row>
    <row r="409" spans="4:31" x14ac:dyDescent="0.4">
      <c r="D409" s="21">
        <f t="shared" si="23"/>
        <v>0</v>
      </c>
      <c r="E409" s="25">
        <v>407</v>
      </c>
      <c r="F409" s="1">
        <v>11</v>
      </c>
      <c r="G409" s="1">
        <f>VLOOKUP(F409,監督フォーメーション!$A$2:$C$15,3,FALSE)</f>
        <v>4213</v>
      </c>
      <c r="K409" s="9"/>
      <c r="M409" s="9"/>
      <c r="N409" s="1">
        <f t="shared" si="25"/>
        <v>0</v>
      </c>
      <c r="O409" s="1">
        <f t="shared" si="22"/>
        <v>0</v>
      </c>
      <c r="P409" s="1" t="str">
        <f t="shared" si="24"/>
        <v>引</v>
      </c>
      <c r="S409" s="8"/>
      <c r="U409" s="8"/>
      <c r="W409" s="8"/>
      <c r="Y409" s="8"/>
      <c r="AA409" s="8"/>
      <c r="AC409" s="8"/>
      <c r="AE409" s="8"/>
    </row>
    <row r="410" spans="4:31" x14ac:dyDescent="0.4">
      <c r="D410" s="21">
        <f t="shared" si="23"/>
        <v>0</v>
      </c>
      <c r="E410" s="25">
        <v>408</v>
      </c>
      <c r="F410" s="1">
        <v>11</v>
      </c>
      <c r="G410" s="1">
        <f>VLOOKUP(F410,監督フォーメーション!$A$2:$C$15,3,FALSE)</f>
        <v>4213</v>
      </c>
      <c r="K410" s="9"/>
      <c r="M410" s="9"/>
      <c r="N410" s="1">
        <f t="shared" si="25"/>
        <v>0</v>
      </c>
      <c r="O410" s="1">
        <f t="shared" si="22"/>
        <v>0</v>
      </c>
      <c r="P410" s="1" t="str">
        <f t="shared" si="24"/>
        <v>引</v>
      </c>
      <c r="S410" s="8"/>
      <c r="U410" s="8"/>
      <c r="W410" s="8"/>
      <c r="Y410" s="8"/>
      <c r="AA410" s="8"/>
      <c r="AC410" s="8"/>
      <c r="AE410" s="8"/>
    </row>
    <row r="411" spans="4:31" x14ac:dyDescent="0.4">
      <c r="D411" s="21">
        <f t="shared" si="23"/>
        <v>0</v>
      </c>
      <c r="E411" s="25">
        <v>409</v>
      </c>
      <c r="F411" s="1">
        <v>11</v>
      </c>
      <c r="G411" s="1">
        <f>VLOOKUP(F411,監督フォーメーション!$A$2:$C$15,3,FALSE)</f>
        <v>4213</v>
      </c>
      <c r="K411" s="9"/>
      <c r="M411" s="9"/>
      <c r="N411" s="1">
        <f t="shared" si="25"/>
        <v>0</v>
      </c>
      <c r="O411" s="1">
        <f t="shared" si="22"/>
        <v>0</v>
      </c>
      <c r="P411" s="1" t="str">
        <f t="shared" si="24"/>
        <v>引</v>
      </c>
      <c r="S411" s="8"/>
      <c r="U411" s="8"/>
      <c r="W411" s="8"/>
      <c r="Y411" s="8"/>
      <c r="AA411" s="8"/>
      <c r="AC411" s="8"/>
      <c r="AE411" s="8"/>
    </row>
    <row r="412" spans="4:31" x14ac:dyDescent="0.4">
      <c r="D412" s="21">
        <f t="shared" si="23"/>
        <v>0</v>
      </c>
      <c r="E412" s="25">
        <v>410</v>
      </c>
      <c r="F412" s="1">
        <v>11</v>
      </c>
      <c r="G412" s="1">
        <f>VLOOKUP(F412,監督フォーメーション!$A$2:$C$15,3,FALSE)</f>
        <v>4213</v>
      </c>
      <c r="K412" s="9"/>
      <c r="M412" s="9"/>
      <c r="N412" s="1">
        <f t="shared" si="25"/>
        <v>0</v>
      </c>
      <c r="O412" s="1">
        <f t="shared" si="22"/>
        <v>0</v>
      </c>
      <c r="P412" s="1" t="str">
        <f t="shared" si="24"/>
        <v>引</v>
      </c>
      <c r="S412" s="8"/>
      <c r="U412" s="8"/>
      <c r="W412" s="8"/>
      <c r="Y412" s="8"/>
      <c r="AA412" s="8"/>
      <c r="AC412" s="8"/>
      <c r="AE412" s="8"/>
    </row>
    <row r="413" spans="4:31" x14ac:dyDescent="0.4">
      <c r="D413" s="21">
        <f t="shared" si="23"/>
        <v>0</v>
      </c>
      <c r="E413" s="25">
        <v>411</v>
      </c>
      <c r="F413" s="1">
        <v>11</v>
      </c>
      <c r="G413" s="1">
        <f>VLOOKUP(F413,監督フォーメーション!$A$2:$C$15,3,FALSE)</f>
        <v>4213</v>
      </c>
      <c r="K413" s="9"/>
      <c r="M413" s="9"/>
      <c r="N413" s="1">
        <f t="shared" si="25"/>
        <v>0</v>
      </c>
      <c r="O413" s="1">
        <f t="shared" si="22"/>
        <v>0</v>
      </c>
      <c r="P413" s="1" t="str">
        <f t="shared" si="24"/>
        <v>引</v>
      </c>
      <c r="S413" s="8"/>
      <c r="U413" s="8"/>
      <c r="W413" s="8"/>
      <c r="Y413" s="8"/>
      <c r="AA413" s="8"/>
      <c r="AC413" s="8"/>
      <c r="AE413" s="8"/>
    </row>
    <row r="414" spans="4:31" x14ac:dyDescent="0.4">
      <c r="D414" s="21">
        <f t="shared" si="23"/>
        <v>0</v>
      </c>
      <c r="E414" s="25">
        <v>412</v>
      </c>
      <c r="F414" s="1">
        <v>11</v>
      </c>
      <c r="G414" s="1">
        <f>VLOOKUP(F414,監督フォーメーション!$A$2:$C$15,3,FALSE)</f>
        <v>4213</v>
      </c>
      <c r="K414" s="9"/>
      <c r="M414" s="9"/>
      <c r="N414" s="1">
        <f t="shared" si="25"/>
        <v>0</v>
      </c>
      <c r="O414" s="1">
        <f t="shared" ref="O414:O462" si="26">COUNTIF(Q414:AG414, "=失点")</f>
        <v>0</v>
      </c>
      <c r="P414" s="1" t="str">
        <f t="shared" si="24"/>
        <v>引</v>
      </c>
      <c r="S414" s="8"/>
      <c r="U414" s="8"/>
      <c r="W414" s="8"/>
      <c r="Y414" s="8"/>
      <c r="AA414" s="8"/>
      <c r="AC414" s="8"/>
      <c r="AE414" s="8"/>
    </row>
    <row r="415" spans="4:31" x14ac:dyDescent="0.4">
      <c r="D415" s="21">
        <f t="shared" si="23"/>
        <v>0</v>
      </c>
      <c r="E415" s="25">
        <v>413</v>
      </c>
      <c r="F415" s="1">
        <v>11</v>
      </c>
      <c r="G415" s="1">
        <f>VLOOKUP(F415,監督フォーメーション!$A$2:$C$15,3,FALSE)</f>
        <v>4213</v>
      </c>
      <c r="K415" s="9"/>
      <c r="M415" s="9"/>
      <c r="N415" s="1">
        <f t="shared" si="25"/>
        <v>0</v>
      </c>
      <c r="O415" s="1">
        <f t="shared" si="26"/>
        <v>0</v>
      </c>
      <c r="P415" s="1" t="str">
        <f t="shared" si="24"/>
        <v>引</v>
      </c>
      <c r="S415" s="8"/>
      <c r="U415" s="8"/>
      <c r="W415" s="8"/>
      <c r="Y415" s="8"/>
      <c r="AA415" s="8"/>
      <c r="AC415" s="8"/>
      <c r="AE415" s="8"/>
    </row>
    <row r="416" spans="4:31" x14ac:dyDescent="0.4">
      <c r="D416" s="21">
        <f t="shared" si="23"/>
        <v>0</v>
      </c>
      <c r="E416" s="25">
        <v>414</v>
      </c>
      <c r="F416" s="1">
        <v>11</v>
      </c>
      <c r="G416" s="1">
        <f>VLOOKUP(F416,監督フォーメーション!$A$2:$C$15,3,FALSE)</f>
        <v>4213</v>
      </c>
      <c r="K416" s="9"/>
      <c r="M416" s="9"/>
      <c r="N416" s="1">
        <f t="shared" si="25"/>
        <v>0</v>
      </c>
      <c r="O416" s="1">
        <f t="shared" si="26"/>
        <v>0</v>
      </c>
      <c r="P416" s="1" t="str">
        <f t="shared" si="24"/>
        <v>引</v>
      </c>
      <c r="S416" s="8"/>
      <c r="U416" s="8"/>
      <c r="W416" s="8"/>
      <c r="Y416" s="8"/>
      <c r="AA416" s="8"/>
      <c r="AC416" s="8"/>
      <c r="AE416" s="8"/>
    </row>
    <row r="417" spans="4:31" x14ac:dyDescent="0.4">
      <c r="D417" s="21">
        <f t="shared" si="23"/>
        <v>0</v>
      </c>
      <c r="E417" s="25">
        <v>415</v>
      </c>
      <c r="F417" s="1">
        <v>11</v>
      </c>
      <c r="G417" s="1">
        <f>VLOOKUP(F417,監督フォーメーション!$A$2:$C$15,3,FALSE)</f>
        <v>4213</v>
      </c>
      <c r="K417" s="9"/>
      <c r="M417" s="9"/>
      <c r="N417" s="1">
        <f t="shared" si="25"/>
        <v>0</v>
      </c>
      <c r="O417" s="1">
        <f t="shared" si="26"/>
        <v>0</v>
      </c>
      <c r="P417" s="1" t="str">
        <f t="shared" si="24"/>
        <v>引</v>
      </c>
      <c r="S417" s="8"/>
      <c r="U417" s="8"/>
      <c r="W417" s="8"/>
      <c r="Y417" s="8"/>
      <c r="AA417" s="8"/>
      <c r="AC417" s="8"/>
      <c r="AE417" s="8"/>
    </row>
    <row r="418" spans="4:31" x14ac:dyDescent="0.4">
      <c r="D418" s="21">
        <f t="shared" si="23"/>
        <v>0</v>
      </c>
      <c r="E418" s="25">
        <v>416</v>
      </c>
      <c r="F418" s="1">
        <v>11</v>
      </c>
      <c r="G418" s="1">
        <f>VLOOKUP(F418,監督フォーメーション!$A$2:$C$15,3,FALSE)</f>
        <v>4213</v>
      </c>
      <c r="K418" s="9"/>
      <c r="M418" s="9"/>
      <c r="N418" s="1">
        <f t="shared" si="25"/>
        <v>0</v>
      </c>
      <c r="O418" s="1">
        <f t="shared" si="26"/>
        <v>0</v>
      </c>
      <c r="P418" s="1" t="str">
        <f t="shared" si="24"/>
        <v>引</v>
      </c>
      <c r="S418" s="8"/>
      <c r="U418" s="8"/>
      <c r="W418" s="8"/>
      <c r="Y418" s="8"/>
      <c r="AA418" s="8"/>
      <c r="AC418" s="8"/>
      <c r="AE418" s="8"/>
    </row>
    <row r="419" spans="4:31" x14ac:dyDescent="0.4">
      <c r="D419" s="21">
        <f t="shared" si="23"/>
        <v>0</v>
      </c>
      <c r="E419" s="25">
        <v>417</v>
      </c>
      <c r="F419" s="1">
        <v>11</v>
      </c>
      <c r="G419" s="1">
        <f>VLOOKUP(F419,監督フォーメーション!$A$2:$C$15,3,FALSE)</f>
        <v>4213</v>
      </c>
      <c r="K419" s="9"/>
      <c r="M419" s="9"/>
      <c r="N419" s="1">
        <f t="shared" si="25"/>
        <v>0</v>
      </c>
      <c r="O419" s="1">
        <f t="shared" si="26"/>
        <v>0</v>
      </c>
      <c r="P419" s="1" t="str">
        <f t="shared" si="24"/>
        <v>引</v>
      </c>
      <c r="S419" s="8"/>
      <c r="U419" s="8"/>
      <c r="W419" s="8"/>
      <c r="Y419" s="8"/>
      <c r="AA419" s="8"/>
      <c r="AC419" s="8"/>
      <c r="AE419" s="8"/>
    </row>
    <row r="420" spans="4:31" x14ac:dyDescent="0.4">
      <c r="D420" s="21">
        <f t="shared" si="23"/>
        <v>0</v>
      </c>
      <c r="E420" s="25">
        <v>418</v>
      </c>
      <c r="F420" s="1">
        <v>11</v>
      </c>
      <c r="G420" s="1">
        <f>VLOOKUP(F420,監督フォーメーション!$A$2:$C$15,3,FALSE)</f>
        <v>4213</v>
      </c>
      <c r="K420" s="9"/>
      <c r="M420" s="9"/>
      <c r="N420" s="1">
        <f t="shared" si="25"/>
        <v>0</v>
      </c>
      <c r="O420" s="1">
        <f t="shared" si="26"/>
        <v>0</v>
      </c>
      <c r="P420" s="1" t="str">
        <f t="shared" si="24"/>
        <v>引</v>
      </c>
      <c r="S420" s="8"/>
      <c r="U420" s="8"/>
      <c r="W420" s="8"/>
      <c r="Y420" s="8"/>
      <c r="AA420" s="8"/>
      <c r="AC420" s="8"/>
      <c r="AE420" s="8"/>
    </row>
    <row r="421" spans="4:31" x14ac:dyDescent="0.4">
      <c r="D421" s="21">
        <f t="shared" si="23"/>
        <v>0</v>
      </c>
      <c r="E421" s="25">
        <v>419</v>
      </c>
      <c r="F421" s="1">
        <v>11</v>
      </c>
      <c r="G421" s="1">
        <f>VLOOKUP(F421,監督フォーメーション!$A$2:$C$15,3,FALSE)</f>
        <v>4213</v>
      </c>
      <c r="K421" s="9"/>
      <c r="M421" s="9"/>
      <c r="N421" s="1">
        <f t="shared" si="25"/>
        <v>0</v>
      </c>
      <c r="O421" s="1">
        <f t="shared" si="26"/>
        <v>0</v>
      </c>
      <c r="P421" s="1" t="str">
        <f t="shared" si="24"/>
        <v>引</v>
      </c>
      <c r="S421" s="8"/>
      <c r="U421" s="8"/>
      <c r="W421" s="8"/>
      <c r="Y421" s="8"/>
      <c r="AA421" s="8"/>
      <c r="AC421" s="8"/>
      <c r="AE421" s="8"/>
    </row>
    <row r="422" spans="4:31" x14ac:dyDescent="0.4">
      <c r="D422" s="21">
        <f t="shared" si="23"/>
        <v>0</v>
      </c>
      <c r="E422" s="25">
        <v>420</v>
      </c>
      <c r="F422" s="1">
        <v>11</v>
      </c>
      <c r="G422" s="1">
        <f>VLOOKUP(F422,監督フォーメーション!$A$2:$C$15,3,FALSE)</f>
        <v>4213</v>
      </c>
      <c r="K422" s="9"/>
      <c r="M422" s="9"/>
      <c r="N422" s="1">
        <f t="shared" si="25"/>
        <v>0</v>
      </c>
      <c r="O422" s="1">
        <f t="shared" si="26"/>
        <v>0</v>
      </c>
      <c r="P422" s="1" t="str">
        <f t="shared" si="24"/>
        <v>引</v>
      </c>
      <c r="S422" s="8"/>
      <c r="U422" s="8"/>
      <c r="W422" s="8"/>
      <c r="Y422" s="8"/>
      <c r="AA422" s="8"/>
      <c r="AC422" s="8"/>
      <c r="AE422" s="8"/>
    </row>
    <row r="423" spans="4:31" x14ac:dyDescent="0.4">
      <c r="D423" s="21">
        <f t="shared" si="23"/>
        <v>0</v>
      </c>
      <c r="E423" s="25">
        <v>421</v>
      </c>
      <c r="F423" s="1">
        <v>11</v>
      </c>
      <c r="G423" s="1">
        <f>VLOOKUP(F423,監督フォーメーション!$A$2:$C$15,3,FALSE)</f>
        <v>4213</v>
      </c>
      <c r="K423" s="9"/>
      <c r="M423" s="9"/>
      <c r="N423" s="1">
        <f t="shared" si="25"/>
        <v>0</v>
      </c>
      <c r="O423" s="1">
        <f t="shared" si="26"/>
        <v>0</v>
      </c>
      <c r="P423" s="1" t="str">
        <f t="shared" si="24"/>
        <v>引</v>
      </c>
      <c r="S423" s="8"/>
      <c r="U423" s="8"/>
      <c r="W423" s="8"/>
      <c r="Y423" s="8"/>
      <c r="AA423" s="8"/>
      <c r="AC423" s="8"/>
      <c r="AE423" s="8"/>
    </row>
    <row r="424" spans="4:31" x14ac:dyDescent="0.4">
      <c r="D424" s="21">
        <f t="shared" si="23"/>
        <v>0</v>
      </c>
      <c r="E424" s="25">
        <v>422</v>
      </c>
      <c r="F424" s="1">
        <v>11</v>
      </c>
      <c r="G424" s="1">
        <f>VLOOKUP(F424,監督フォーメーション!$A$2:$C$15,3,FALSE)</f>
        <v>4213</v>
      </c>
      <c r="K424" s="9"/>
      <c r="M424" s="9"/>
      <c r="N424" s="1">
        <f t="shared" si="25"/>
        <v>0</v>
      </c>
      <c r="O424" s="1">
        <f t="shared" si="26"/>
        <v>0</v>
      </c>
      <c r="P424" s="1" t="str">
        <f t="shared" si="24"/>
        <v>引</v>
      </c>
      <c r="S424" s="8"/>
      <c r="U424" s="8"/>
      <c r="W424" s="8"/>
      <c r="Y424" s="8"/>
      <c r="AA424" s="8"/>
      <c r="AC424" s="8"/>
      <c r="AE424" s="8"/>
    </row>
    <row r="425" spans="4:31" x14ac:dyDescent="0.4">
      <c r="D425" s="21">
        <f t="shared" si="23"/>
        <v>0</v>
      </c>
      <c r="E425" s="25">
        <v>423</v>
      </c>
      <c r="F425" s="1">
        <v>11</v>
      </c>
      <c r="G425" s="1">
        <f>VLOOKUP(F425,監督フォーメーション!$A$2:$C$15,3,FALSE)</f>
        <v>4213</v>
      </c>
      <c r="K425" s="9"/>
      <c r="M425" s="9"/>
      <c r="N425" s="1">
        <f t="shared" si="25"/>
        <v>0</v>
      </c>
      <c r="O425" s="1">
        <f t="shared" si="26"/>
        <v>0</v>
      </c>
      <c r="P425" s="1" t="str">
        <f t="shared" si="24"/>
        <v>引</v>
      </c>
      <c r="S425" s="8"/>
      <c r="U425" s="8"/>
      <c r="W425" s="8"/>
      <c r="Y425" s="8"/>
      <c r="AA425" s="8"/>
      <c r="AC425" s="8"/>
      <c r="AE425" s="8"/>
    </row>
    <row r="426" spans="4:31" x14ac:dyDescent="0.4">
      <c r="D426" s="21">
        <f t="shared" si="23"/>
        <v>0</v>
      </c>
      <c r="E426" s="25">
        <v>424</v>
      </c>
      <c r="F426" s="1">
        <v>11</v>
      </c>
      <c r="G426" s="1">
        <f>VLOOKUP(F426,監督フォーメーション!$A$2:$C$15,3,FALSE)</f>
        <v>4213</v>
      </c>
      <c r="K426" s="9"/>
      <c r="M426" s="9"/>
      <c r="N426" s="1">
        <f t="shared" si="25"/>
        <v>0</v>
      </c>
      <c r="O426" s="1">
        <f t="shared" si="26"/>
        <v>0</v>
      </c>
      <c r="P426" s="1" t="str">
        <f t="shared" si="24"/>
        <v>引</v>
      </c>
      <c r="S426" s="8"/>
      <c r="U426" s="8"/>
      <c r="W426" s="8"/>
      <c r="Y426" s="8"/>
      <c r="AA426" s="8"/>
      <c r="AC426" s="8"/>
      <c r="AE426" s="8"/>
    </row>
    <row r="427" spans="4:31" x14ac:dyDescent="0.4">
      <c r="D427" s="21">
        <f t="shared" ref="D427:D462" si="27">B427+C427</f>
        <v>0</v>
      </c>
      <c r="E427" s="25">
        <v>425</v>
      </c>
      <c r="F427" s="1">
        <v>11</v>
      </c>
      <c r="G427" s="1">
        <f>VLOOKUP(F427,監督フォーメーション!$A$2:$C$15,3,FALSE)</f>
        <v>4213</v>
      </c>
      <c r="K427" s="9"/>
      <c r="M427" s="9"/>
      <c r="N427" s="1">
        <f t="shared" si="25"/>
        <v>0</v>
      </c>
      <c r="O427" s="1">
        <f t="shared" si="26"/>
        <v>0</v>
      </c>
      <c r="P427" s="1" t="str">
        <f t="shared" si="24"/>
        <v>引</v>
      </c>
      <c r="S427" s="8"/>
      <c r="U427" s="8"/>
      <c r="W427" s="8"/>
      <c r="Y427" s="8"/>
      <c r="AA427" s="8"/>
      <c r="AC427" s="8"/>
      <c r="AE427" s="8"/>
    </row>
    <row r="428" spans="4:31" x14ac:dyDescent="0.4">
      <c r="D428" s="21">
        <f t="shared" si="27"/>
        <v>0</v>
      </c>
      <c r="E428" s="25">
        <v>426</v>
      </c>
      <c r="F428" s="1">
        <v>11</v>
      </c>
      <c r="G428" s="1">
        <f>VLOOKUP(F428,監督フォーメーション!$A$2:$C$15,3,FALSE)</f>
        <v>4213</v>
      </c>
      <c r="K428" s="9"/>
      <c r="M428" s="9"/>
      <c r="N428" s="1">
        <f t="shared" si="25"/>
        <v>0</v>
      </c>
      <c r="O428" s="1">
        <f t="shared" si="26"/>
        <v>0</v>
      </c>
      <c r="P428" s="1" t="str">
        <f t="shared" si="24"/>
        <v>引</v>
      </c>
      <c r="S428" s="8"/>
      <c r="U428" s="8"/>
      <c r="W428" s="8"/>
      <c r="Y428" s="8"/>
      <c r="AA428" s="8"/>
      <c r="AC428" s="8"/>
      <c r="AE428" s="8"/>
    </row>
    <row r="429" spans="4:31" x14ac:dyDescent="0.4">
      <c r="D429" s="21">
        <f t="shared" si="27"/>
        <v>0</v>
      </c>
      <c r="E429" s="25">
        <v>427</v>
      </c>
      <c r="F429" s="1">
        <v>11</v>
      </c>
      <c r="G429" s="1">
        <f>VLOOKUP(F429,監督フォーメーション!$A$2:$C$15,3,FALSE)</f>
        <v>4213</v>
      </c>
      <c r="K429" s="9"/>
      <c r="M429" s="9"/>
      <c r="N429" s="1">
        <f t="shared" si="25"/>
        <v>0</v>
      </c>
      <c r="O429" s="1">
        <f t="shared" si="26"/>
        <v>0</v>
      </c>
      <c r="P429" s="1" t="str">
        <f t="shared" si="24"/>
        <v>引</v>
      </c>
      <c r="S429" s="8"/>
      <c r="U429" s="8"/>
      <c r="W429" s="8"/>
      <c r="Y429" s="8"/>
      <c r="AA429" s="8"/>
      <c r="AC429" s="8"/>
      <c r="AE429" s="8"/>
    </row>
    <row r="430" spans="4:31" x14ac:dyDescent="0.4">
      <c r="D430" s="21">
        <f t="shared" si="27"/>
        <v>0</v>
      </c>
      <c r="E430" s="25">
        <v>428</v>
      </c>
      <c r="F430" s="1">
        <v>11</v>
      </c>
      <c r="G430" s="1">
        <f>VLOOKUP(F430,監督フォーメーション!$A$2:$C$15,3,FALSE)</f>
        <v>4213</v>
      </c>
      <c r="K430" s="9"/>
      <c r="M430" s="9"/>
      <c r="N430" s="1">
        <f t="shared" si="25"/>
        <v>0</v>
      </c>
      <c r="O430" s="1">
        <f t="shared" si="26"/>
        <v>0</v>
      </c>
      <c r="P430" s="1" t="str">
        <f t="shared" si="24"/>
        <v>引</v>
      </c>
      <c r="S430" s="8"/>
      <c r="U430" s="8"/>
      <c r="W430" s="8"/>
      <c r="Y430" s="8"/>
      <c r="AA430" s="8"/>
      <c r="AC430" s="8"/>
      <c r="AE430" s="8"/>
    </row>
    <row r="431" spans="4:31" x14ac:dyDescent="0.4">
      <c r="D431" s="21">
        <f t="shared" si="27"/>
        <v>0</v>
      </c>
      <c r="E431" s="25">
        <v>429</v>
      </c>
      <c r="F431" s="1">
        <v>11</v>
      </c>
      <c r="G431" s="1">
        <f>VLOOKUP(F431,監督フォーメーション!$A$2:$C$15,3,FALSE)</f>
        <v>4213</v>
      </c>
      <c r="K431" s="9"/>
      <c r="M431" s="9"/>
      <c r="N431" s="1">
        <f t="shared" si="25"/>
        <v>0</v>
      </c>
      <c r="O431" s="1">
        <f t="shared" si="26"/>
        <v>0</v>
      </c>
      <c r="P431" s="1" t="str">
        <f t="shared" si="24"/>
        <v>引</v>
      </c>
      <c r="S431" s="8"/>
      <c r="U431" s="8"/>
      <c r="W431" s="8"/>
      <c r="Y431" s="8"/>
      <c r="AA431" s="8"/>
      <c r="AC431" s="8"/>
      <c r="AE431" s="8"/>
    </row>
    <row r="432" spans="4:31" x14ac:dyDescent="0.4">
      <c r="D432" s="21">
        <f t="shared" si="27"/>
        <v>0</v>
      </c>
      <c r="E432" s="25">
        <v>430</v>
      </c>
      <c r="F432" s="1">
        <v>11</v>
      </c>
      <c r="G432" s="1">
        <f>VLOOKUP(F432,監督フォーメーション!$A$2:$C$15,3,FALSE)</f>
        <v>4213</v>
      </c>
      <c r="K432" s="9"/>
      <c r="M432" s="9"/>
      <c r="N432" s="1">
        <f t="shared" si="25"/>
        <v>0</v>
      </c>
      <c r="O432" s="1">
        <f t="shared" si="26"/>
        <v>0</v>
      </c>
      <c r="P432" s="1" t="str">
        <f t="shared" si="24"/>
        <v>引</v>
      </c>
      <c r="S432" s="8"/>
      <c r="U432" s="8"/>
      <c r="W432" s="8"/>
      <c r="Y432" s="8"/>
      <c r="AA432" s="8"/>
      <c r="AC432" s="8"/>
      <c r="AE432" s="8"/>
    </row>
    <row r="433" spans="4:31" x14ac:dyDescent="0.4">
      <c r="D433" s="21">
        <f t="shared" si="27"/>
        <v>0</v>
      </c>
      <c r="E433" s="25">
        <v>431</v>
      </c>
      <c r="F433" s="1">
        <v>11</v>
      </c>
      <c r="G433" s="1">
        <f>VLOOKUP(F433,監督フォーメーション!$A$2:$C$15,3,FALSE)</f>
        <v>4213</v>
      </c>
      <c r="K433" s="9"/>
      <c r="M433" s="9"/>
      <c r="N433" s="1">
        <f t="shared" si="25"/>
        <v>0</v>
      </c>
      <c r="O433" s="1">
        <f t="shared" si="26"/>
        <v>0</v>
      </c>
      <c r="P433" s="1" t="str">
        <f t="shared" si="24"/>
        <v>引</v>
      </c>
      <c r="S433" s="8"/>
      <c r="U433" s="8"/>
      <c r="W433" s="8"/>
      <c r="Y433" s="8"/>
      <c r="AA433" s="8"/>
      <c r="AC433" s="8"/>
      <c r="AE433" s="8"/>
    </row>
    <row r="434" spans="4:31" x14ac:dyDescent="0.4">
      <c r="D434" s="21">
        <f t="shared" si="27"/>
        <v>0</v>
      </c>
      <c r="E434" s="25">
        <v>432</v>
      </c>
      <c r="F434" s="1">
        <v>11</v>
      </c>
      <c r="G434" s="1">
        <f>VLOOKUP(F434,監督フォーメーション!$A$2:$C$15,3,FALSE)</f>
        <v>4213</v>
      </c>
      <c r="K434" s="9"/>
      <c r="M434" s="9"/>
      <c r="N434" s="1">
        <f t="shared" si="25"/>
        <v>0</v>
      </c>
      <c r="O434" s="1">
        <f t="shared" si="26"/>
        <v>0</v>
      </c>
      <c r="P434" s="1" t="str">
        <f t="shared" si="24"/>
        <v>引</v>
      </c>
      <c r="S434" s="8"/>
      <c r="U434" s="8"/>
      <c r="W434" s="8"/>
      <c r="Y434" s="8"/>
      <c r="AA434" s="8"/>
      <c r="AC434" s="8"/>
      <c r="AE434" s="8"/>
    </row>
    <row r="435" spans="4:31" x14ac:dyDescent="0.4">
      <c r="D435" s="21">
        <f t="shared" si="27"/>
        <v>0</v>
      </c>
      <c r="E435" s="25">
        <v>433</v>
      </c>
      <c r="F435" s="1">
        <v>11</v>
      </c>
      <c r="G435" s="1">
        <f>VLOOKUP(F435,監督フォーメーション!$A$2:$C$15,3,FALSE)</f>
        <v>4213</v>
      </c>
      <c r="K435" s="9"/>
      <c r="M435" s="9"/>
      <c r="N435" s="1">
        <f t="shared" si="25"/>
        <v>0</v>
      </c>
      <c r="O435" s="1">
        <f t="shared" si="26"/>
        <v>0</v>
      </c>
      <c r="P435" s="1" t="str">
        <f t="shared" si="24"/>
        <v>引</v>
      </c>
      <c r="S435" s="8"/>
      <c r="U435" s="8"/>
      <c r="W435" s="8"/>
      <c r="Y435" s="8"/>
      <c r="AA435" s="8"/>
      <c r="AC435" s="8"/>
      <c r="AE435" s="8"/>
    </row>
    <row r="436" spans="4:31" x14ac:dyDescent="0.4">
      <c r="D436" s="21">
        <f t="shared" si="27"/>
        <v>0</v>
      </c>
      <c r="E436" s="25">
        <v>434</v>
      </c>
      <c r="F436" s="1">
        <v>11</v>
      </c>
      <c r="G436" s="1">
        <f>VLOOKUP(F436,監督フォーメーション!$A$2:$C$15,3,FALSE)</f>
        <v>4213</v>
      </c>
      <c r="K436" s="9"/>
      <c r="M436" s="9"/>
      <c r="N436" s="1">
        <f t="shared" si="25"/>
        <v>0</v>
      </c>
      <c r="O436" s="1">
        <f t="shared" si="26"/>
        <v>0</v>
      </c>
      <c r="P436" s="1" t="str">
        <f t="shared" si="24"/>
        <v>引</v>
      </c>
      <c r="S436" s="8"/>
      <c r="U436" s="8"/>
      <c r="W436" s="8"/>
      <c r="Y436" s="8"/>
      <c r="AA436" s="8"/>
      <c r="AC436" s="8"/>
      <c r="AE436" s="8"/>
    </row>
    <row r="437" spans="4:31" x14ac:dyDescent="0.4">
      <c r="D437" s="21">
        <f t="shared" si="27"/>
        <v>0</v>
      </c>
      <c r="E437" s="25">
        <v>435</v>
      </c>
      <c r="F437" s="1">
        <v>11</v>
      </c>
      <c r="G437" s="1">
        <f>VLOOKUP(F437,監督フォーメーション!$A$2:$C$15,3,FALSE)</f>
        <v>4213</v>
      </c>
      <c r="K437" s="9"/>
      <c r="M437" s="9"/>
      <c r="N437" s="1">
        <f t="shared" si="25"/>
        <v>0</v>
      </c>
      <c r="O437" s="1">
        <f t="shared" si="26"/>
        <v>0</v>
      </c>
      <c r="P437" s="1" t="str">
        <f t="shared" si="24"/>
        <v>引</v>
      </c>
      <c r="S437" s="8"/>
      <c r="U437" s="8"/>
      <c r="W437" s="8"/>
      <c r="Y437" s="8"/>
      <c r="AA437" s="8"/>
      <c r="AC437" s="8"/>
      <c r="AE437" s="8"/>
    </row>
    <row r="438" spans="4:31" x14ac:dyDescent="0.4">
      <c r="D438" s="21">
        <f t="shared" si="27"/>
        <v>0</v>
      </c>
      <c r="E438" s="25">
        <v>436</v>
      </c>
      <c r="F438" s="1">
        <v>11</v>
      </c>
      <c r="G438" s="1">
        <f>VLOOKUP(F438,監督フォーメーション!$A$2:$C$15,3,FALSE)</f>
        <v>4213</v>
      </c>
      <c r="K438" s="9"/>
      <c r="M438" s="9"/>
      <c r="N438" s="1">
        <f t="shared" si="25"/>
        <v>0</v>
      </c>
      <c r="O438" s="1">
        <f t="shared" si="26"/>
        <v>0</v>
      </c>
      <c r="P438" s="1" t="str">
        <f t="shared" si="24"/>
        <v>引</v>
      </c>
      <c r="S438" s="8"/>
      <c r="U438" s="8"/>
      <c r="W438" s="8"/>
      <c r="Y438" s="8"/>
      <c r="AA438" s="8"/>
      <c r="AC438" s="8"/>
      <c r="AE438" s="8"/>
    </row>
    <row r="439" spans="4:31" x14ac:dyDescent="0.4">
      <c r="D439" s="21">
        <f t="shared" si="27"/>
        <v>0</v>
      </c>
      <c r="E439" s="25">
        <v>437</v>
      </c>
      <c r="F439" s="1">
        <v>11</v>
      </c>
      <c r="G439" s="1">
        <f>VLOOKUP(F439,監督フォーメーション!$A$2:$C$15,3,FALSE)</f>
        <v>4213</v>
      </c>
      <c r="K439" s="9"/>
      <c r="M439" s="9"/>
      <c r="N439" s="1">
        <f t="shared" si="25"/>
        <v>0</v>
      </c>
      <c r="O439" s="1">
        <f t="shared" si="26"/>
        <v>0</v>
      </c>
      <c r="P439" s="1" t="str">
        <f t="shared" si="24"/>
        <v>引</v>
      </c>
      <c r="S439" s="8"/>
      <c r="U439" s="8"/>
      <c r="W439" s="8"/>
      <c r="Y439" s="8"/>
      <c r="AA439" s="8"/>
      <c r="AC439" s="8"/>
      <c r="AE439" s="8"/>
    </row>
    <row r="440" spans="4:31" x14ac:dyDescent="0.4">
      <c r="D440" s="21">
        <f t="shared" si="27"/>
        <v>0</v>
      </c>
      <c r="E440" s="25">
        <v>438</v>
      </c>
      <c r="F440" s="1">
        <v>11</v>
      </c>
      <c r="G440" s="1">
        <f>VLOOKUP(F440,監督フォーメーション!$A$2:$C$15,3,FALSE)</f>
        <v>4213</v>
      </c>
      <c r="K440" s="9"/>
      <c r="M440" s="9"/>
      <c r="N440" s="1">
        <f t="shared" si="25"/>
        <v>0</v>
      </c>
      <c r="O440" s="1">
        <f t="shared" si="26"/>
        <v>0</v>
      </c>
      <c r="P440" s="1" t="str">
        <f t="shared" si="24"/>
        <v>引</v>
      </c>
      <c r="S440" s="8"/>
      <c r="U440" s="8"/>
      <c r="W440" s="8"/>
      <c r="Y440" s="8"/>
      <c r="AA440" s="8"/>
      <c r="AC440" s="8"/>
      <c r="AE440" s="8"/>
    </row>
    <row r="441" spans="4:31" x14ac:dyDescent="0.4">
      <c r="D441" s="21">
        <f t="shared" si="27"/>
        <v>0</v>
      </c>
      <c r="E441" s="25">
        <v>439</v>
      </c>
      <c r="F441" s="1">
        <v>11</v>
      </c>
      <c r="G441" s="1">
        <f>VLOOKUP(F441,監督フォーメーション!$A$2:$C$15,3,FALSE)</f>
        <v>4213</v>
      </c>
      <c r="K441" s="9"/>
      <c r="M441" s="9"/>
      <c r="N441" s="1">
        <f t="shared" si="25"/>
        <v>0</v>
      </c>
      <c r="O441" s="1">
        <f t="shared" si="26"/>
        <v>0</v>
      </c>
      <c r="P441" s="1" t="str">
        <f t="shared" si="24"/>
        <v>引</v>
      </c>
      <c r="S441" s="8"/>
      <c r="U441" s="8"/>
      <c r="W441" s="8"/>
      <c r="Y441" s="8"/>
      <c r="AA441" s="8"/>
      <c r="AC441" s="8"/>
      <c r="AE441" s="8"/>
    </row>
    <row r="442" spans="4:31" x14ac:dyDescent="0.4">
      <c r="D442" s="21">
        <f t="shared" si="27"/>
        <v>0</v>
      </c>
      <c r="E442" s="25">
        <v>440</v>
      </c>
      <c r="F442" s="1">
        <v>11</v>
      </c>
      <c r="G442" s="1">
        <f>VLOOKUP(F442,監督フォーメーション!$A$2:$C$15,3,FALSE)</f>
        <v>4213</v>
      </c>
      <c r="K442" s="9"/>
      <c r="M442" s="9"/>
      <c r="N442" s="1">
        <f t="shared" si="25"/>
        <v>0</v>
      </c>
      <c r="O442" s="1">
        <f t="shared" si="26"/>
        <v>0</v>
      </c>
      <c r="P442" s="1" t="str">
        <f t="shared" si="24"/>
        <v>引</v>
      </c>
      <c r="S442" s="8"/>
      <c r="U442" s="8"/>
      <c r="W442" s="8"/>
      <c r="Y442" s="8"/>
      <c r="AA442" s="8"/>
      <c r="AC442" s="8"/>
      <c r="AE442" s="8"/>
    </row>
    <row r="443" spans="4:31" x14ac:dyDescent="0.4">
      <c r="D443" s="21">
        <f t="shared" si="27"/>
        <v>0</v>
      </c>
      <c r="E443" s="25">
        <v>441</v>
      </c>
      <c r="F443" s="1">
        <v>11</v>
      </c>
      <c r="G443" s="1">
        <f>VLOOKUP(F443,監督フォーメーション!$A$2:$C$15,3,FALSE)</f>
        <v>4213</v>
      </c>
      <c r="K443" s="9"/>
      <c r="M443" s="9"/>
      <c r="N443" s="1">
        <f t="shared" si="25"/>
        <v>0</v>
      </c>
      <c r="O443" s="1">
        <f t="shared" si="26"/>
        <v>0</v>
      </c>
      <c r="P443" s="1" t="str">
        <f t="shared" si="24"/>
        <v>引</v>
      </c>
      <c r="S443" s="8"/>
      <c r="U443" s="8"/>
      <c r="W443" s="8"/>
      <c r="Y443" s="8"/>
      <c r="AA443" s="8"/>
      <c r="AC443" s="8"/>
      <c r="AE443" s="8"/>
    </row>
    <row r="444" spans="4:31" x14ac:dyDescent="0.4">
      <c r="D444" s="21">
        <f t="shared" si="27"/>
        <v>0</v>
      </c>
      <c r="E444" s="25">
        <v>442</v>
      </c>
      <c r="F444" s="1">
        <v>11</v>
      </c>
      <c r="G444" s="1">
        <f>VLOOKUP(F444,監督フォーメーション!$A$2:$C$15,3,FALSE)</f>
        <v>4213</v>
      </c>
      <c r="K444" s="9"/>
      <c r="M444" s="9"/>
      <c r="N444" s="1">
        <f t="shared" si="25"/>
        <v>0</v>
      </c>
      <c r="O444" s="1">
        <f t="shared" si="26"/>
        <v>0</v>
      </c>
      <c r="P444" s="1" t="str">
        <f t="shared" si="24"/>
        <v>引</v>
      </c>
      <c r="S444" s="8"/>
      <c r="U444" s="8"/>
      <c r="W444" s="8"/>
      <c r="Y444" s="8"/>
      <c r="AA444" s="8"/>
      <c r="AC444" s="8"/>
      <c r="AE444" s="8"/>
    </row>
    <row r="445" spans="4:31" x14ac:dyDescent="0.4">
      <c r="D445" s="21">
        <f t="shared" si="27"/>
        <v>0</v>
      </c>
      <c r="E445" s="25">
        <v>443</v>
      </c>
      <c r="F445" s="1">
        <v>11</v>
      </c>
      <c r="G445" s="1">
        <f>VLOOKUP(F445,監督フォーメーション!$A$2:$C$15,3,FALSE)</f>
        <v>4213</v>
      </c>
      <c r="K445" s="9"/>
      <c r="M445" s="9"/>
      <c r="N445" s="1">
        <f t="shared" si="25"/>
        <v>0</v>
      </c>
      <c r="O445" s="1">
        <f t="shared" si="26"/>
        <v>0</v>
      </c>
      <c r="P445" s="1" t="str">
        <f t="shared" si="24"/>
        <v>引</v>
      </c>
      <c r="S445" s="8"/>
      <c r="U445" s="8"/>
      <c r="W445" s="8"/>
      <c r="Y445" s="8"/>
      <c r="AA445" s="8"/>
      <c r="AC445" s="8"/>
      <c r="AE445" s="8"/>
    </row>
    <row r="446" spans="4:31" x14ac:dyDescent="0.4">
      <c r="D446" s="21">
        <f t="shared" si="27"/>
        <v>0</v>
      </c>
      <c r="E446" s="25">
        <v>444</v>
      </c>
      <c r="F446" s="1">
        <v>11</v>
      </c>
      <c r="G446" s="1">
        <f>VLOOKUP(F446,監督フォーメーション!$A$2:$C$15,3,FALSE)</f>
        <v>4213</v>
      </c>
      <c r="K446" s="9"/>
      <c r="M446" s="9"/>
      <c r="N446" s="1">
        <f t="shared" si="25"/>
        <v>0</v>
      </c>
      <c r="O446" s="1">
        <f t="shared" si="26"/>
        <v>0</v>
      </c>
      <c r="P446" s="1" t="str">
        <f t="shared" si="24"/>
        <v>引</v>
      </c>
      <c r="S446" s="8"/>
      <c r="U446" s="8"/>
      <c r="W446" s="8"/>
      <c r="Y446" s="8"/>
      <c r="AA446" s="8"/>
      <c r="AC446" s="8"/>
      <c r="AE446" s="8"/>
    </row>
    <row r="447" spans="4:31" x14ac:dyDescent="0.4">
      <c r="D447" s="21">
        <f t="shared" si="27"/>
        <v>0</v>
      </c>
      <c r="E447" s="25">
        <v>445</v>
      </c>
      <c r="F447" s="1">
        <v>11</v>
      </c>
      <c r="G447" s="1">
        <f>VLOOKUP(F447,監督フォーメーション!$A$2:$C$15,3,FALSE)</f>
        <v>4213</v>
      </c>
      <c r="K447" s="9"/>
      <c r="M447" s="9"/>
      <c r="N447" s="1">
        <f t="shared" si="25"/>
        <v>0</v>
      </c>
      <c r="O447" s="1">
        <f t="shared" si="26"/>
        <v>0</v>
      </c>
      <c r="P447" s="1" t="str">
        <f t="shared" si="24"/>
        <v>引</v>
      </c>
      <c r="S447" s="8"/>
      <c r="U447" s="8"/>
      <c r="W447" s="8"/>
      <c r="Y447" s="8"/>
      <c r="AA447" s="8"/>
      <c r="AC447" s="8"/>
      <c r="AE447" s="8"/>
    </row>
    <row r="448" spans="4:31" x14ac:dyDescent="0.4">
      <c r="D448" s="21">
        <f t="shared" si="27"/>
        <v>0</v>
      </c>
      <c r="E448" s="25">
        <v>446</v>
      </c>
      <c r="F448" s="1">
        <v>11</v>
      </c>
      <c r="G448" s="1">
        <f>VLOOKUP(F448,監督フォーメーション!$A$2:$C$15,3,FALSE)</f>
        <v>4213</v>
      </c>
      <c r="K448" s="9"/>
      <c r="M448" s="9"/>
      <c r="N448" s="1">
        <f t="shared" si="25"/>
        <v>0</v>
      </c>
      <c r="O448" s="1">
        <f t="shared" si="26"/>
        <v>0</v>
      </c>
      <c r="P448" s="1" t="str">
        <f t="shared" si="24"/>
        <v>引</v>
      </c>
      <c r="S448" s="8"/>
      <c r="U448" s="8"/>
      <c r="W448" s="8"/>
      <c r="Y448" s="8"/>
      <c r="AA448" s="8"/>
      <c r="AC448" s="8"/>
      <c r="AE448" s="8"/>
    </row>
    <row r="449" spans="4:31" x14ac:dyDescent="0.4">
      <c r="D449" s="21">
        <f t="shared" si="27"/>
        <v>0</v>
      </c>
      <c r="E449" s="25">
        <v>447</v>
      </c>
      <c r="F449" s="1">
        <v>11</v>
      </c>
      <c r="G449" s="1">
        <f>VLOOKUP(F449,監督フォーメーション!$A$2:$C$15,3,FALSE)</f>
        <v>4213</v>
      </c>
      <c r="K449" s="9"/>
      <c r="M449" s="9"/>
      <c r="N449" s="1">
        <f t="shared" si="25"/>
        <v>0</v>
      </c>
      <c r="O449" s="1">
        <f t="shared" si="26"/>
        <v>0</v>
      </c>
      <c r="P449" s="1" t="str">
        <f t="shared" si="24"/>
        <v>引</v>
      </c>
      <c r="S449" s="8"/>
      <c r="U449" s="8"/>
      <c r="W449" s="8"/>
      <c r="Y449" s="8"/>
      <c r="AA449" s="8"/>
      <c r="AC449" s="8"/>
      <c r="AE449" s="8"/>
    </row>
    <row r="450" spans="4:31" x14ac:dyDescent="0.4">
      <c r="D450" s="21">
        <f t="shared" si="27"/>
        <v>0</v>
      </c>
      <c r="E450" s="25">
        <v>448</v>
      </c>
      <c r="F450" s="1">
        <v>11</v>
      </c>
      <c r="G450" s="1">
        <f>VLOOKUP(F450,監督フォーメーション!$A$2:$C$15,3,FALSE)</f>
        <v>4213</v>
      </c>
      <c r="K450" s="9"/>
      <c r="M450" s="9"/>
      <c r="N450" s="1">
        <f t="shared" si="25"/>
        <v>0</v>
      </c>
      <c r="O450" s="1">
        <f t="shared" si="26"/>
        <v>0</v>
      </c>
      <c r="P450" s="1" t="str">
        <f t="shared" si="24"/>
        <v>引</v>
      </c>
      <c r="S450" s="8"/>
      <c r="U450" s="8"/>
      <c r="W450" s="8"/>
      <c r="Y450" s="8"/>
      <c r="AA450" s="8"/>
      <c r="AC450" s="8"/>
      <c r="AE450" s="8"/>
    </row>
    <row r="451" spans="4:31" x14ac:dyDescent="0.4">
      <c r="D451" s="21">
        <f t="shared" si="27"/>
        <v>0</v>
      </c>
      <c r="E451" s="25">
        <v>449</v>
      </c>
      <c r="F451" s="1">
        <v>11</v>
      </c>
      <c r="G451" s="1">
        <f>VLOOKUP(F451,監督フォーメーション!$A$2:$C$15,3,FALSE)</f>
        <v>4213</v>
      </c>
      <c r="K451" s="9"/>
      <c r="M451" s="9"/>
      <c r="N451" s="1">
        <f t="shared" si="25"/>
        <v>0</v>
      </c>
      <c r="O451" s="1">
        <f t="shared" si="26"/>
        <v>0</v>
      </c>
      <c r="P451" s="1" t="str">
        <f t="shared" ref="P451:P462" si="28">IF(N451-O451&gt;0,"勝",IF(N451-O451&lt;0,"負","引"))</f>
        <v>引</v>
      </c>
      <c r="S451" s="8"/>
      <c r="U451" s="8"/>
      <c r="W451" s="8"/>
      <c r="Y451" s="8"/>
      <c r="AA451" s="8"/>
      <c r="AC451" s="8"/>
      <c r="AE451" s="8"/>
    </row>
    <row r="452" spans="4:31" x14ac:dyDescent="0.4">
      <c r="D452" s="21">
        <f t="shared" si="27"/>
        <v>0</v>
      </c>
      <c r="E452" s="25">
        <v>450</v>
      </c>
      <c r="F452" s="1">
        <v>11</v>
      </c>
      <c r="G452" s="1">
        <f>VLOOKUP(F452,監督フォーメーション!$A$2:$C$15,3,FALSE)</f>
        <v>4213</v>
      </c>
      <c r="K452" s="9"/>
      <c r="M452" s="9"/>
      <c r="N452" s="1">
        <f t="shared" si="25"/>
        <v>0</v>
      </c>
      <c r="O452" s="1">
        <f t="shared" si="26"/>
        <v>0</v>
      </c>
      <c r="P452" s="1" t="str">
        <f t="shared" si="28"/>
        <v>引</v>
      </c>
      <c r="S452" s="8"/>
      <c r="U452" s="8"/>
      <c r="W452" s="8"/>
      <c r="Y452" s="8"/>
      <c r="AA452" s="8"/>
      <c r="AC452" s="8"/>
      <c r="AE452" s="8"/>
    </row>
    <row r="453" spans="4:31" x14ac:dyDescent="0.4">
      <c r="D453" s="21">
        <f t="shared" si="27"/>
        <v>0</v>
      </c>
      <c r="E453" s="25">
        <v>451</v>
      </c>
      <c r="F453" s="1">
        <v>11</v>
      </c>
      <c r="G453" s="1">
        <f>VLOOKUP(F453,監督フォーメーション!$A$2:$C$15,3,FALSE)</f>
        <v>4213</v>
      </c>
      <c r="K453" s="9"/>
      <c r="M453" s="9"/>
      <c r="N453" s="1">
        <f t="shared" si="25"/>
        <v>0</v>
      </c>
      <c r="O453" s="1">
        <f t="shared" si="26"/>
        <v>0</v>
      </c>
      <c r="P453" s="1" t="str">
        <f t="shared" si="28"/>
        <v>引</v>
      </c>
      <c r="S453" s="8"/>
      <c r="U453" s="8"/>
      <c r="W453" s="8"/>
      <c r="Y453" s="8"/>
      <c r="AA453" s="8"/>
      <c r="AC453" s="8"/>
      <c r="AE453" s="8"/>
    </row>
    <row r="454" spans="4:31" x14ac:dyDescent="0.4">
      <c r="D454" s="21">
        <f t="shared" si="27"/>
        <v>0</v>
      </c>
      <c r="E454" s="25">
        <v>452</v>
      </c>
      <c r="F454" s="1">
        <v>11</v>
      </c>
      <c r="G454" s="1">
        <f>VLOOKUP(F454,監督フォーメーション!$A$2:$C$15,3,FALSE)</f>
        <v>4213</v>
      </c>
      <c r="K454" s="9"/>
      <c r="M454" s="9"/>
      <c r="N454" s="1">
        <f t="shared" si="25"/>
        <v>0</v>
      </c>
      <c r="O454" s="1">
        <f t="shared" si="26"/>
        <v>0</v>
      </c>
      <c r="P454" s="1" t="str">
        <f t="shared" si="28"/>
        <v>引</v>
      </c>
      <c r="S454" s="8"/>
      <c r="U454" s="8"/>
      <c r="W454" s="8"/>
      <c r="Y454" s="8"/>
      <c r="AA454" s="8"/>
      <c r="AC454" s="8"/>
      <c r="AE454" s="8"/>
    </row>
    <row r="455" spans="4:31" x14ac:dyDescent="0.4">
      <c r="D455" s="21">
        <f t="shared" si="27"/>
        <v>0</v>
      </c>
      <c r="E455" s="25">
        <v>453</v>
      </c>
      <c r="F455" s="1">
        <v>11</v>
      </c>
      <c r="G455" s="1">
        <f>VLOOKUP(F455,監督フォーメーション!$A$2:$C$15,3,FALSE)</f>
        <v>4213</v>
      </c>
      <c r="K455" s="9"/>
      <c r="M455" s="9"/>
      <c r="N455" s="1">
        <f t="shared" si="25"/>
        <v>0</v>
      </c>
      <c r="O455" s="1">
        <f t="shared" si="26"/>
        <v>0</v>
      </c>
      <c r="P455" s="1" t="str">
        <f t="shared" si="28"/>
        <v>引</v>
      </c>
      <c r="S455" s="8"/>
      <c r="U455" s="8"/>
      <c r="W455" s="8"/>
      <c r="Y455" s="8"/>
      <c r="AA455" s="8"/>
      <c r="AC455" s="8"/>
      <c r="AE455" s="8"/>
    </row>
    <row r="456" spans="4:31" x14ac:dyDescent="0.4">
      <c r="D456" s="21">
        <f t="shared" si="27"/>
        <v>0</v>
      </c>
      <c r="E456" s="25">
        <v>454</v>
      </c>
      <c r="F456" s="1">
        <v>11</v>
      </c>
      <c r="G456" s="1">
        <f>VLOOKUP(F456,監督フォーメーション!$A$2:$C$15,3,FALSE)</f>
        <v>4213</v>
      </c>
      <c r="K456" s="9"/>
      <c r="M456" s="9"/>
      <c r="N456" s="1">
        <f t="shared" si="25"/>
        <v>0</v>
      </c>
      <c r="O456" s="1">
        <f t="shared" si="26"/>
        <v>0</v>
      </c>
      <c r="P456" s="1" t="str">
        <f t="shared" si="28"/>
        <v>引</v>
      </c>
      <c r="S456" s="8"/>
      <c r="U456" s="8"/>
      <c r="W456" s="8"/>
      <c r="Y456" s="8"/>
      <c r="AA456" s="8"/>
      <c r="AC456" s="8"/>
      <c r="AE456" s="8"/>
    </row>
    <row r="457" spans="4:31" x14ac:dyDescent="0.4">
      <c r="D457" s="21">
        <f t="shared" si="27"/>
        <v>0</v>
      </c>
      <c r="E457" s="25">
        <v>455</v>
      </c>
      <c r="F457" s="1">
        <v>11</v>
      </c>
      <c r="G457" s="1">
        <f>VLOOKUP(F457,監督フォーメーション!$A$2:$C$15,3,FALSE)</f>
        <v>4213</v>
      </c>
      <c r="K457" s="9"/>
      <c r="M457" s="9"/>
      <c r="N457" s="1">
        <f t="shared" si="25"/>
        <v>0</v>
      </c>
      <c r="O457" s="1">
        <f t="shared" si="26"/>
        <v>0</v>
      </c>
      <c r="P457" s="1" t="str">
        <f t="shared" si="28"/>
        <v>引</v>
      </c>
      <c r="S457" s="8"/>
      <c r="U457" s="8"/>
      <c r="W457" s="8"/>
      <c r="Y457" s="8"/>
      <c r="AA457" s="8"/>
      <c r="AC457" s="8"/>
      <c r="AE457" s="8"/>
    </row>
    <row r="458" spans="4:31" x14ac:dyDescent="0.4">
      <c r="D458" s="21">
        <f t="shared" si="27"/>
        <v>0</v>
      </c>
      <c r="E458" s="25">
        <v>456</v>
      </c>
      <c r="F458" s="1">
        <v>11</v>
      </c>
      <c r="G458" s="1">
        <f>VLOOKUP(F458,監督フォーメーション!$A$2:$C$15,3,FALSE)</f>
        <v>4213</v>
      </c>
      <c r="K458" s="9"/>
      <c r="M458" s="9"/>
      <c r="N458" s="1">
        <f t="shared" si="25"/>
        <v>0</v>
      </c>
      <c r="O458" s="1">
        <f t="shared" si="26"/>
        <v>0</v>
      </c>
      <c r="P458" s="1" t="str">
        <f t="shared" si="28"/>
        <v>引</v>
      </c>
      <c r="S458" s="8"/>
      <c r="U458" s="8"/>
      <c r="W458" s="8"/>
      <c r="Y458" s="8"/>
      <c r="AA458" s="8"/>
      <c r="AC458" s="8"/>
      <c r="AE458" s="8"/>
    </row>
    <row r="459" spans="4:31" x14ac:dyDescent="0.4">
      <c r="D459" s="21">
        <f t="shared" si="27"/>
        <v>0</v>
      </c>
      <c r="E459" s="25">
        <v>457</v>
      </c>
      <c r="F459" s="1">
        <v>11</v>
      </c>
      <c r="G459" s="1">
        <f>VLOOKUP(F459,監督フォーメーション!$A$2:$C$15,3,FALSE)</f>
        <v>4213</v>
      </c>
      <c r="K459" s="9"/>
      <c r="M459" s="9"/>
      <c r="N459" s="1">
        <f t="shared" si="25"/>
        <v>0</v>
      </c>
      <c r="O459" s="1">
        <f t="shared" si="26"/>
        <v>0</v>
      </c>
      <c r="P459" s="1" t="str">
        <f t="shared" si="28"/>
        <v>引</v>
      </c>
      <c r="S459" s="8"/>
      <c r="U459" s="8"/>
      <c r="W459" s="8"/>
      <c r="Y459" s="8"/>
      <c r="AA459" s="8"/>
      <c r="AC459" s="8"/>
      <c r="AE459" s="8"/>
    </row>
    <row r="460" spans="4:31" x14ac:dyDescent="0.4">
      <c r="D460" s="21">
        <f t="shared" si="27"/>
        <v>0</v>
      </c>
      <c r="E460" s="25">
        <v>458</v>
      </c>
      <c r="F460" s="1">
        <v>11</v>
      </c>
      <c r="G460" s="1">
        <f>VLOOKUP(F460,監督フォーメーション!$A$2:$C$15,3,FALSE)</f>
        <v>4213</v>
      </c>
      <c r="K460" s="9"/>
      <c r="M460" s="9"/>
      <c r="N460" s="1">
        <f t="shared" si="25"/>
        <v>0</v>
      </c>
      <c r="O460" s="1">
        <f t="shared" si="26"/>
        <v>0</v>
      </c>
      <c r="P460" s="1" t="str">
        <f t="shared" si="28"/>
        <v>引</v>
      </c>
      <c r="S460" s="8"/>
      <c r="U460" s="8"/>
      <c r="W460" s="8"/>
      <c r="Y460" s="8"/>
      <c r="AA460" s="8"/>
      <c r="AC460" s="8"/>
      <c r="AE460" s="8"/>
    </row>
    <row r="461" spans="4:31" x14ac:dyDescent="0.4">
      <c r="D461" s="21">
        <f t="shared" si="27"/>
        <v>0</v>
      </c>
      <c r="E461" s="25">
        <v>459</v>
      </c>
      <c r="F461" s="1">
        <v>11</v>
      </c>
      <c r="G461" s="1">
        <f>VLOOKUP(F461,監督フォーメーション!$A$2:$C$15,3,FALSE)</f>
        <v>4213</v>
      </c>
      <c r="K461" s="9"/>
      <c r="M461" s="9"/>
      <c r="N461" s="1">
        <f t="shared" si="25"/>
        <v>0</v>
      </c>
      <c r="O461" s="1">
        <f t="shared" si="26"/>
        <v>0</v>
      </c>
      <c r="P461" s="1" t="str">
        <f t="shared" si="28"/>
        <v>引</v>
      </c>
      <c r="S461" s="8"/>
      <c r="U461" s="8"/>
      <c r="W461" s="8"/>
      <c r="Y461" s="8"/>
      <c r="AA461" s="8"/>
      <c r="AC461" s="8"/>
      <c r="AE461" s="8"/>
    </row>
    <row r="462" spans="4:31" x14ac:dyDescent="0.4">
      <c r="D462" s="21">
        <f t="shared" si="27"/>
        <v>0</v>
      </c>
      <c r="E462" s="25">
        <v>460</v>
      </c>
      <c r="F462" s="1">
        <v>11</v>
      </c>
      <c r="G462" s="1">
        <f>VLOOKUP(F462,監督フォーメーション!$A$2:$C$15,3,FALSE)</f>
        <v>4213</v>
      </c>
      <c r="K462" s="9"/>
      <c r="M462" s="9"/>
      <c r="N462" s="1">
        <f t="shared" si="25"/>
        <v>0</v>
      </c>
      <c r="O462" s="1">
        <f t="shared" si="26"/>
        <v>0</v>
      </c>
      <c r="P462" s="1" t="str">
        <f t="shared" si="28"/>
        <v>引</v>
      </c>
      <c r="S462" s="8"/>
      <c r="U462" s="8"/>
      <c r="W462" s="8"/>
      <c r="Y462" s="8"/>
      <c r="AA462" s="8"/>
      <c r="AC462" s="8"/>
      <c r="AE462" s="8"/>
    </row>
    <row r="463" spans="4:31" x14ac:dyDescent="0.4">
      <c r="M463" s="9"/>
      <c r="S463" s="8"/>
      <c r="U463" s="8"/>
      <c r="W463" s="8"/>
      <c r="Y463" s="8"/>
      <c r="AA463" s="8"/>
      <c r="AC463" s="8"/>
      <c r="AE463" s="8"/>
    </row>
    <row r="464" spans="4:31" x14ac:dyDescent="0.4">
      <c r="M464" s="9"/>
      <c r="S464" s="8"/>
      <c r="U464" s="8"/>
      <c r="W464" s="8"/>
      <c r="Y464" s="8"/>
      <c r="AA464" s="8"/>
      <c r="AC464" s="8"/>
      <c r="AE464" s="8"/>
    </row>
    <row r="465" spans="13:31" x14ac:dyDescent="0.4">
      <c r="M465" s="9"/>
      <c r="S465" s="8"/>
      <c r="U465" s="8"/>
      <c r="W465" s="8"/>
      <c r="Y465" s="8"/>
      <c r="AA465" s="8"/>
      <c r="AC465" s="8"/>
      <c r="AE465" s="8"/>
    </row>
    <row r="466" spans="13:31" x14ac:dyDescent="0.4">
      <c r="M466" s="9"/>
      <c r="S466" s="8"/>
      <c r="U466" s="8"/>
      <c r="W466" s="8"/>
      <c r="Y466" s="8"/>
      <c r="AA466" s="8"/>
      <c r="AC466" s="8"/>
      <c r="AE466" s="8"/>
    </row>
    <row r="467" spans="13:31" x14ac:dyDescent="0.4">
      <c r="M467" s="9"/>
      <c r="S467" s="8"/>
      <c r="U467" s="8"/>
      <c r="W467" s="8"/>
      <c r="Y467" s="8"/>
      <c r="AA467" s="8"/>
      <c r="AC467" s="8"/>
      <c r="AE467" s="8"/>
    </row>
    <row r="468" spans="13:31" x14ac:dyDescent="0.4">
      <c r="M468" s="9"/>
      <c r="S468" s="8"/>
      <c r="U468" s="8"/>
      <c r="W468" s="8"/>
      <c r="Y468" s="8"/>
      <c r="AA468" s="8"/>
      <c r="AC468" s="8"/>
      <c r="AE468" s="8"/>
    </row>
    <row r="469" spans="13:31" x14ac:dyDescent="0.4">
      <c r="M469" s="9"/>
      <c r="S469" s="8"/>
      <c r="U469" s="8"/>
      <c r="W469" s="8"/>
      <c r="Y469" s="8"/>
      <c r="AA469" s="8"/>
      <c r="AC469" s="8"/>
      <c r="AE469" s="8"/>
    </row>
    <row r="470" spans="13:31" x14ac:dyDescent="0.4">
      <c r="M470" s="9"/>
      <c r="S470" s="8"/>
      <c r="U470" s="8"/>
      <c r="W470" s="8"/>
      <c r="Y470" s="8"/>
      <c r="AA470" s="8"/>
      <c r="AC470" s="8"/>
      <c r="AE470" s="8"/>
    </row>
    <row r="471" spans="13:31" x14ac:dyDescent="0.4">
      <c r="M471" s="9"/>
      <c r="S471" s="8"/>
      <c r="U471" s="8"/>
      <c r="W471" s="8"/>
      <c r="Y471" s="8"/>
      <c r="AA471" s="8"/>
      <c r="AC471" s="8"/>
      <c r="AE471" s="8"/>
    </row>
    <row r="472" spans="13:31" x14ac:dyDescent="0.4">
      <c r="M472" s="9"/>
      <c r="S472" s="8"/>
      <c r="U472" s="8"/>
      <c r="W472" s="8"/>
      <c r="Y472" s="8"/>
      <c r="AA472" s="8"/>
      <c r="AC472" s="8"/>
      <c r="AE472" s="8"/>
    </row>
    <row r="473" spans="13:31" x14ac:dyDescent="0.4">
      <c r="M473" s="9"/>
      <c r="S473" s="8"/>
      <c r="U473" s="8"/>
      <c r="W473" s="8"/>
      <c r="Y473" s="8"/>
      <c r="AA473" s="8"/>
      <c r="AC473" s="8"/>
      <c r="AE473" s="8"/>
    </row>
    <row r="474" spans="13:31" x14ac:dyDescent="0.4">
      <c r="M474" s="9"/>
      <c r="S474" s="8"/>
      <c r="U474" s="8"/>
      <c r="W474" s="8"/>
      <c r="Y474" s="8"/>
      <c r="AA474" s="8"/>
      <c r="AC474" s="8"/>
      <c r="AE474" s="8"/>
    </row>
    <row r="475" spans="13:31" x14ac:dyDescent="0.4">
      <c r="M475" s="9"/>
      <c r="S475" s="8"/>
      <c r="U475" s="8"/>
      <c r="W475" s="8"/>
      <c r="Y475" s="8"/>
      <c r="AA475" s="8"/>
      <c r="AC475" s="8"/>
      <c r="AE475" s="8"/>
    </row>
    <row r="476" spans="13:31" x14ac:dyDescent="0.4">
      <c r="M476" s="9"/>
      <c r="S476" s="8"/>
      <c r="U476" s="8"/>
      <c r="W476" s="8"/>
      <c r="Y476" s="8"/>
      <c r="AA476" s="8"/>
      <c r="AC476" s="8"/>
      <c r="AE476" s="8"/>
    </row>
    <row r="477" spans="13:31" x14ac:dyDescent="0.4">
      <c r="M477" s="9"/>
      <c r="S477" s="8"/>
      <c r="U477" s="8"/>
      <c r="W477" s="8"/>
      <c r="Y477" s="8"/>
      <c r="AA477" s="8"/>
      <c r="AC477" s="8"/>
      <c r="AE477" s="8"/>
    </row>
    <row r="478" spans="13:31" x14ac:dyDescent="0.4">
      <c r="M478" s="9"/>
      <c r="S478" s="8"/>
      <c r="U478" s="8"/>
      <c r="W478" s="8"/>
      <c r="Y478" s="8"/>
      <c r="AA478" s="8"/>
      <c r="AC478" s="8"/>
      <c r="AE478" s="8"/>
    </row>
    <row r="479" spans="13:31" x14ac:dyDescent="0.4">
      <c r="M479" s="9"/>
      <c r="S479" s="8"/>
      <c r="U479" s="8"/>
      <c r="W479" s="8"/>
      <c r="Y479" s="8"/>
      <c r="AA479" s="8"/>
      <c r="AC479" s="8"/>
      <c r="AE479" s="8"/>
    </row>
    <row r="480" spans="13:31" x14ac:dyDescent="0.4">
      <c r="M480" s="9"/>
      <c r="S480" s="8"/>
      <c r="U480" s="8"/>
      <c r="W480" s="8"/>
      <c r="Y480" s="8"/>
      <c r="AA480" s="8"/>
      <c r="AC480" s="8"/>
      <c r="AE480" s="8"/>
    </row>
    <row r="481" spans="13:31" x14ac:dyDescent="0.4">
      <c r="M481" s="9"/>
      <c r="S481" s="8"/>
      <c r="U481" s="8"/>
      <c r="W481" s="8"/>
      <c r="Y481" s="8"/>
      <c r="AA481" s="8"/>
      <c r="AC481" s="8"/>
      <c r="AE481" s="8"/>
    </row>
    <row r="482" spans="13:31" x14ac:dyDescent="0.4">
      <c r="M482" s="9"/>
      <c r="S482" s="8"/>
      <c r="U482" s="8"/>
      <c r="W482" s="8"/>
      <c r="Y482" s="8"/>
      <c r="AA482" s="8"/>
      <c r="AC482" s="8"/>
      <c r="AE482" s="8"/>
    </row>
    <row r="483" spans="13:31" x14ac:dyDescent="0.4">
      <c r="M483" s="9"/>
      <c r="S483" s="8"/>
      <c r="U483" s="8"/>
      <c r="W483" s="8"/>
      <c r="Y483" s="8"/>
      <c r="AA483" s="8"/>
      <c r="AC483" s="8"/>
      <c r="AE483" s="8"/>
    </row>
    <row r="484" spans="13:31" x14ac:dyDescent="0.4">
      <c r="M484" s="9"/>
      <c r="S484" s="8"/>
      <c r="U484" s="8"/>
      <c r="W484" s="8"/>
      <c r="Y484" s="8"/>
      <c r="AA484" s="8"/>
      <c r="AC484" s="8"/>
      <c r="AE484" s="8"/>
    </row>
    <row r="485" spans="13:31" x14ac:dyDescent="0.4">
      <c r="M485" s="9"/>
      <c r="S485" s="8"/>
      <c r="U485" s="8"/>
      <c r="W485" s="8"/>
      <c r="Y485" s="8"/>
      <c r="AA485" s="8"/>
      <c r="AC485" s="8"/>
      <c r="AE485" s="8"/>
    </row>
    <row r="486" spans="13:31" x14ac:dyDescent="0.4">
      <c r="M486" s="9"/>
      <c r="S486" s="8"/>
      <c r="U486" s="8"/>
      <c r="W486" s="8"/>
      <c r="Y486" s="8"/>
      <c r="AA486" s="8"/>
      <c r="AC486" s="8"/>
      <c r="AE486" s="8"/>
    </row>
    <row r="487" spans="13:31" x14ac:dyDescent="0.4">
      <c r="M487" s="9"/>
      <c r="S487" s="8"/>
      <c r="U487" s="8"/>
      <c r="W487" s="8"/>
      <c r="Y487" s="8"/>
      <c r="AA487" s="8"/>
      <c r="AC487" s="8"/>
      <c r="AE487" s="8"/>
    </row>
    <row r="488" spans="13:31" x14ac:dyDescent="0.4">
      <c r="M488" s="9"/>
      <c r="S488" s="8"/>
      <c r="U488" s="8"/>
      <c r="W488" s="8"/>
      <c r="Y488" s="8"/>
      <c r="AA488" s="8"/>
      <c r="AC488" s="8"/>
      <c r="AE488" s="8"/>
    </row>
    <row r="489" spans="13:31" x14ac:dyDescent="0.4">
      <c r="M489" s="9"/>
      <c r="S489" s="8"/>
      <c r="U489" s="8"/>
      <c r="W489" s="8"/>
      <c r="Y489" s="8"/>
      <c r="AA489" s="8"/>
      <c r="AC489" s="8"/>
      <c r="AE489" s="8"/>
    </row>
    <row r="490" spans="13:31" x14ac:dyDescent="0.4">
      <c r="M490" s="9"/>
      <c r="S490" s="8"/>
      <c r="U490" s="8"/>
      <c r="W490" s="8"/>
      <c r="Y490" s="8"/>
      <c r="AA490" s="8"/>
      <c r="AC490" s="8"/>
      <c r="AE490" s="8"/>
    </row>
    <row r="491" spans="13:31" x14ac:dyDescent="0.4">
      <c r="M491" s="9"/>
      <c r="S491" s="8"/>
      <c r="U491" s="8"/>
      <c r="W491" s="8"/>
      <c r="Y491" s="8"/>
      <c r="AA491" s="8"/>
      <c r="AC491" s="8"/>
      <c r="AE491" s="8"/>
    </row>
    <row r="492" spans="13:31" x14ac:dyDescent="0.4">
      <c r="M492" s="9"/>
      <c r="S492" s="8"/>
      <c r="U492" s="8"/>
      <c r="W492" s="8"/>
      <c r="Y492" s="8"/>
      <c r="AA492" s="8"/>
      <c r="AC492" s="8"/>
      <c r="AE492" s="8"/>
    </row>
    <row r="493" spans="13:31" x14ac:dyDescent="0.4">
      <c r="M493" s="9"/>
      <c r="S493" s="8"/>
      <c r="U493" s="8"/>
      <c r="W493" s="8"/>
      <c r="Y493" s="8"/>
      <c r="AA493" s="8"/>
      <c r="AC493" s="8"/>
      <c r="AE493" s="8"/>
    </row>
    <row r="494" spans="13:31" x14ac:dyDescent="0.4">
      <c r="M494" s="9"/>
      <c r="S494" s="8"/>
      <c r="U494" s="8"/>
      <c r="W494" s="8"/>
      <c r="Y494" s="8"/>
      <c r="AA494" s="8"/>
      <c r="AC494" s="8"/>
      <c r="AE494" s="8"/>
    </row>
    <row r="495" spans="13:31" x14ac:dyDescent="0.4">
      <c r="M495" s="9"/>
      <c r="S495" s="8"/>
      <c r="U495" s="8"/>
      <c r="W495" s="8"/>
      <c r="Y495" s="8"/>
      <c r="AA495" s="8"/>
      <c r="AC495" s="8"/>
      <c r="AE495" s="8"/>
    </row>
    <row r="496" spans="13:31" x14ac:dyDescent="0.4">
      <c r="M496" s="9"/>
      <c r="S496" s="8"/>
      <c r="U496" s="8"/>
      <c r="W496" s="8"/>
      <c r="Y496" s="8"/>
      <c r="AA496" s="8"/>
      <c r="AC496" s="8"/>
      <c r="AE496" s="8"/>
    </row>
    <row r="497" spans="13:31" x14ac:dyDescent="0.4">
      <c r="M497" s="9"/>
      <c r="S497" s="8"/>
      <c r="U497" s="8"/>
      <c r="W497" s="8"/>
      <c r="Y497" s="8"/>
      <c r="AA497" s="8"/>
      <c r="AC497" s="8"/>
      <c r="AE497" s="8"/>
    </row>
    <row r="498" spans="13:31" x14ac:dyDescent="0.4">
      <c r="M498" s="9"/>
      <c r="S498" s="8"/>
      <c r="U498" s="8"/>
      <c r="W498" s="8"/>
      <c r="Y498" s="8"/>
      <c r="AA498" s="8"/>
      <c r="AC498" s="8"/>
      <c r="AE498" s="8"/>
    </row>
    <row r="499" spans="13:31" x14ac:dyDescent="0.4">
      <c r="M499" s="9"/>
      <c r="S499" s="8"/>
      <c r="U499" s="8"/>
      <c r="W499" s="8"/>
      <c r="Y499" s="8"/>
      <c r="AA499" s="8"/>
      <c r="AC499" s="8"/>
      <c r="AE499" s="8"/>
    </row>
    <row r="500" spans="13:31" x14ac:dyDescent="0.4">
      <c r="M500" s="9"/>
      <c r="S500" s="8"/>
      <c r="U500" s="8"/>
      <c r="W500" s="8"/>
      <c r="Y500" s="8"/>
      <c r="AA500" s="8"/>
      <c r="AC500" s="8"/>
      <c r="AE500" s="8"/>
    </row>
    <row r="501" spans="13:31" x14ac:dyDescent="0.4">
      <c r="M501" s="9"/>
      <c r="S501" s="8"/>
      <c r="U501" s="8"/>
      <c r="W501" s="8"/>
      <c r="Y501" s="8"/>
      <c r="AA501" s="8"/>
      <c r="AC501" s="8"/>
      <c r="AE501" s="8"/>
    </row>
    <row r="502" spans="13:31" x14ac:dyDescent="0.4">
      <c r="M502" s="9"/>
      <c r="S502" s="8"/>
      <c r="U502" s="8"/>
      <c r="W502" s="8"/>
      <c r="Y502" s="8"/>
      <c r="AA502" s="8"/>
      <c r="AC502" s="8"/>
      <c r="AE502" s="8"/>
    </row>
    <row r="503" spans="13:31" x14ac:dyDescent="0.4">
      <c r="M503" s="9"/>
      <c r="S503" s="8"/>
      <c r="U503" s="8"/>
      <c r="W503" s="8"/>
      <c r="Y503" s="8"/>
      <c r="AA503" s="8"/>
      <c r="AC503" s="8"/>
      <c r="AE503" s="8"/>
    </row>
    <row r="504" spans="13:31" x14ac:dyDescent="0.4">
      <c r="M504" s="9"/>
      <c r="S504" s="8"/>
      <c r="U504" s="8"/>
      <c r="W504" s="8"/>
      <c r="Y504" s="8"/>
      <c r="AA504" s="8"/>
      <c r="AC504" s="8"/>
      <c r="AE504" s="8"/>
    </row>
    <row r="505" spans="13:31" x14ac:dyDescent="0.4">
      <c r="M505" s="9"/>
      <c r="S505" s="8"/>
      <c r="U505" s="8"/>
      <c r="W505" s="8"/>
      <c r="Y505" s="8"/>
      <c r="AA505" s="8"/>
      <c r="AC505" s="8"/>
      <c r="AE505" s="8"/>
    </row>
    <row r="506" spans="13:31" x14ac:dyDescent="0.4">
      <c r="M506" s="9"/>
      <c r="S506" s="8"/>
      <c r="U506" s="8"/>
      <c r="W506" s="8"/>
      <c r="Y506" s="8"/>
      <c r="AA506" s="8"/>
      <c r="AC506" s="8"/>
      <c r="AE506" s="8"/>
    </row>
    <row r="507" spans="13:31" x14ac:dyDescent="0.4">
      <c r="M507" s="9"/>
      <c r="S507" s="8"/>
      <c r="U507" s="8"/>
      <c r="W507" s="8"/>
      <c r="Y507" s="8"/>
      <c r="AA507" s="8"/>
      <c r="AC507" s="8"/>
      <c r="AE507" s="8"/>
    </row>
    <row r="508" spans="13:31" x14ac:dyDescent="0.4">
      <c r="M508" s="9"/>
      <c r="S508" s="8"/>
      <c r="U508" s="8"/>
      <c r="W508" s="8"/>
      <c r="Y508" s="8"/>
      <c r="AA508" s="8"/>
      <c r="AC508" s="8"/>
      <c r="AE508" s="8"/>
    </row>
    <row r="509" spans="13:31" x14ac:dyDescent="0.4">
      <c r="M509" s="9"/>
      <c r="S509" s="8"/>
      <c r="U509" s="8"/>
      <c r="W509" s="8"/>
      <c r="Y509" s="8"/>
      <c r="AA509" s="8"/>
      <c r="AC509" s="8"/>
      <c r="AE509" s="8"/>
    </row>
    <row r="510" spans="13:31" x14ac:dyDescent="0.4">
      <c r="M510" s="9"/>
      <c r="S510" s="8"/>
      <c r="U510" s="8"/>
      <c r="W510" s="8"/>
      <c r="Y510" s="8"/>
      <c r="AA510" s="8"/>
      <c r="AC510" s="8"/>
      <c r="AE510" s="8"/>
    </row>
    <row r="511" spans="13:31" x14ac:dyDescent="0.4">
      <c r="M511" s="9"/>
      <c r="S511" s="8"/>
      <c r="U511" s="8"/>
      <c r="W511" s="8"/>
      <c r="Y511" s="8"/>
      <c r="AA511" s="8"/>
      <c r="AC511" s="8"/>
      <c r="AE511" s="8"/>
    </row>
    <row r="512" spans="13:31" x14ac:dyDescent="0.4">
      <c r="M512" s="9"/>
      <c r="S512" s="8"/>
      <c r="U512" s="8"/>
      <c r="W512" s="8"/>
      <c r="Y512" s="8"/>
      <c r="AA512" s="8"/>
      <c r="AC512" s="8"/>
      <c r="AE512" s="8"/>
    </row>
    <row r="513" spans="13:31" x14ac:dyDescent="0.4">
      <c r="M513" s="9"/>
      <c r="S513" s="8"/>
      <c r="U513" s="8"/>
      <c r="W513" s="8"/>
      <c r="Y513" s="8"/>
      <c r="AA513" s="8"/>
      <c r="AC513" s="8"/>
      <c r="AE513" s="8"/>
    </row>
    <row r="514" spans="13:31" x14ac:dyDescent="0.4">
      <c r="M514" s="9"/>
      <c r="S514" s="8"/>
      <c r="U514" s="8"/>
      <c r="W514" s="8"/>
      <c r="Y514" s="8"/>
      <c r="AA514" s="8"/>
      <c r="AC514" s="8"/>
      <c r="AE514" s="8"/>
    </row>
    <row r="515" spans="13:31" x14ac:dyDescent="0.4">
      <c r="M515" s="9"/>
      <c r="S515" s="8"/>
      <c r="U515" s="8"/>
      <c r="W515" s="8"/>
      <c r="Y515" s="8"/>
      <c r="AA515" s="8"/>
      <c r="AC515" s="8"/>
      <c r="AE515" s="8"/>
    </row>
    <row r="516" spans="13:31" x14ac:dyDescent="0.4">
      <c r="M516" s="9"/>
      <c r="S516" s="8"/>
      <c r="U516" s="8"/>
      <c r="W516" s="8"/>
      <c r="Y516" s="8"/>
      <c r="AA516" s="8"/>
      <c r="AC516" s="8"/>
      <c r="AE516" s="8"/>
    </row>
    <row r="517" spans="13:31" x14ac:dyDescent="0.4">
      <c r="M517" s="9"/>
      <c r="S517" s="8"/>
      <c r="U517" s="8"/>
      <c r="W517" s="8"/>
      <c r="Y517" s="8"/>
      <c r="AA517" s="8"/>
      <c r="AC517" s="8"/>
      <c r="AE517" s="8"/>
    </row>
    <row r="518" spans="13:31" x14ac:dyDescent="0.4">
      <c r="M518" s="9"/>
      <c r="S518" s="8"/>
      <c r="U518" s="8"/>
      <c r="W518" s="8"/>
      <c r="Y518" s="8"/>
      <c r="AA518" s="8"/>
      <c r="AC518" s="8"/>
      <c r="AE518" s="8"/>
    </row>
    <row r="519" spans="13:31" x14ac:dyDescent="0.4">
      <c r="M519" s="9"/>
      <c r="S519" s="8"/>
      <c r="U519" s="8"/>
      <c r="W519" s="8"/>
      <c r="Y519" s="8"/>
      <c r="AA519" s="8"/>
      <c r="AC519" s="8"/>
      <c r="AE519" s="8"/>
    </row>
    <row r="520" spans="13:31" x14ac:dyDescent="0.4">
      <c r="M520" s="9"/>
      <c r="S520" s="8"/>
      <c r="U520" s="8"/>
      <c r="W520" s="8"/>
      <c r="Y520" s="8"/>
      <c r="AA520" s="8"/>
      <c r="AC520" s="8"/>
      <c r="AE520" s="8"/>
    </row>
    <row r="521" spans="13:31" x14ac:dyDescent="0.4">
      <c r="M521" s="9"/>
      <c r="S521" s="8"/>
      <c r="U521" s="8"/>
      <c r="W521" s="8"/>
      <c r="Y521" s="8"/>
      <c r="AA521" s="8"/>
      <c r="AC521" s="8"/>
      <c r="AE521" s="8"/>
    </row>
    <row r="522" spans="13:31" x14ac:dyDescent="0.4">
      <c r="M522" s="9"/>
      <c r="S522" s="8"/>
      <c r="U522" s="8"/>
      <c r="W522" s="8"/>
      <c r="Y522" s="8"/>
      <c r="AA522" s="8"/>
      <c r="AC522" s="8"/>
      <c r="AE522" s="8"/>
    </row>
    <row r="523" spans="13:31" x14ac:dyDescent="0.4">
      <c r="M523" s="9"/>
      <c r="S523" s="8"/>
      <c r="U523" s="8"/>
      <c r="W523" s="8"/>
      <c r="Y523" s="8"/>
      <c r="AA523" s="8"/>
      <c r="AC523" s="8"/>
      <c r="AE523" s="8"/>
    </row>
    <row r="524" spans="13:31" x14ac:dyDescent="0.4">
      <c r="M524" s="9"/>
      <c r="S524" s="8"/>
      <c r="U524" s="8"/>
      <c r="W524" s="8"/>
      <c r="Y524" s="8"/>
      <c r="AA524" s="8"/>
      <c r="AC524" s="8"/>
      <c r="AE524" s="8"/>
    </row>
    <row r="525" spans="13:31" x14ac:dyDescent="0.4">
      <c r="M525" s="9"/>
      <c r="S525" s="8"/>
      <c r="U525" s="8"/>
      <c r="W525" s="8"/>
      <c r="Y525" s="8"/>
      <c r="AA525" s="8"/>
      <c r="AC525" s="8"/>
      <c r="AE525" s="8"/>
    </row>
    <row r="526" spans="13:31" x14ac:dyDescent="0.4">
      <c r="M526" s="9"/>
      <c r="S526" s="8"/>
      <c r="U526" s="8"/>
      <c r="W526" s="8"/>
      <c r="Y526" s="8"/>
      <c r="AA526" s="8"/>
      <c r="AC526" s="8"/>
      <c r="AE526" s="8"/>
    </row>
    <row r="527" spans="13:31" x14ac:dyDescent="0.4">
      <c r="M527" s="9"/>
      <c r="S527" s="8"/>
      <c r="U527" s="8"/>
      <c r="W527" s="8"/>
      <c r="Y527" s="8"/>
      <c r="AA527" s="8"/>
      <c r="AC527" s="8"/>
      <c r="AE527" s="8"/>
    </row>
    <row r="528" spans="13:31" x14ac:dyDescent="0.4">
      <c r="M528" s="9"/>
      <c r="S528" s="8"/>
      <c r="U528" s="8"/>
      <c r="W528" s="8"/>
      <c r="Y528" s="8"/>
      <c r="AA528" s="8"/>
      <c r="AC528" s="8"/>
      <c r="AE528" s="8"/>
    </row>
    <row r="529" spans="13:31" x14ac:dyDescent="0.4">
      <c r="M529" s="9"/>
      <c r="S529" s="8"/>
      <c r="U529" s="8"/>
      <c r="W529" s="8"/>
      <c r="Y529" s="8"/>
      <c r="AA529" s="8"/>
      <c r="AC529" s="8"/>
      <c r="AE529" s="8"/>
    </row>
    <row r="530" spans="13:31" x14ac:dyDescent="0.4">
      <c r="M530" s="9"/>
      <c r="S530" s="8"/>
      <c r="U530" s="8"/>
      <c r="W530" s="8"/>
      <c r="Y530" s="8"/>
      <c r="AA530" s="8"/>
      <c r="AC530" s="8"/>
      <c r="AE530" s="8"/>
    </row>
    <row r="531" spans="13:31" x14ac:dyDescent="0.4">
      <c r="M531" s="9"/>
      <c r="S531" s="8"/>
      <c r="U531" s="8"/>
      <c r="W531" s="8"/>
      <c r="Y531" s="8"/>
      <c r="AA531" s="8"/>
      <c r="AC531" s="8"/>
      <c r="AE531" s="8"/>
    </row>
    <row r="532" spans="13:31" x14ac:dyDescent="0.4">
      <c r="M532" s="9"/>
      <c r="S532" s="8"/>
      <c r="U532" s="8"/>
      <c r="W532" s="8"/>
      <c r="Y532" s="8"/>
      <c r="AA532" s="8"/>
      <c r="AC532" s="8"/>
      <c r="AE532" s="8"/>
    </row>
    <row r="533" spans="13:31" x14ac:dyDescent="0.4">
      <c r="M533" s="9"/>
      <c r="S533" s="8"/>
      <c r="U533" s="8"/>
      <c r="W533" s="8"/>
      <c r="Y533" s="8"/>
      <c r="AA533" s="8"/>
      <c r="AC533" s="8"/>
      <c r="AE533" s="8"/>
    </row>
    <row r="534" spans="13:31" x14ac:dyDescent="0.4">
      <c r="M534" s="9"/>
      <c r="S534" s="8"/>
      <c r="U534" s="8"/>
      <c r="W534" s="8"/>
      <c r="Y534" s="8"/>
      <c r="AA534" s="8"/>
      <c r="AC534" s="8"/>
      <c r="AE534" s="8"/>
    </row>
    <row r="535" spans="13:31" x14ac:dyDescent="0.4">
      <c r="M535" s="9"/>
      <c r="S535" s="8"/>
      <c r="U535" s="8"/>
      <c r="W535" s="8"/>
      <c r="Y535" s="8"/>
      <c r="AA535" s="8"/>
      <c r="AC535" s="8"/>
      <c r="AE535" s="8"/>
    </row>
    <row r="536" spans="13:31" x14ac:dyDescent="0.4">
      <c r="M536" s="9"/>
      <c r="S536" s="8"/>
      <c r="U536" s="8"/>
      <c r="W536" s="8"/>
      <c r="Y536" s="8"/>
      <c r="AA536" s="8"/>
      <c r="AC536" s="8"/>
      <c r="AE536" s="8"/>
    </row>
    <row r="537" spans="13:31" x14ac:dyDescent="0.4">
      <c r="M537" s="9"/>
      <c r="S537" s="8"/>
      <c r="U537" s="8"/>
      <c r="W537" s="8"/>
      <c r="Y537" s="8"/>
      <c r="AA537" s="8"/>
      <c r="AC537" s="8"/>
      <c r="AE537" s="8"/>
    </row>
    <row r="538" spans="13:31" x14ac:dyDescent="0.4">
      <c r="M538" s="9"/>
      <c r="S538" s="8"/>
      <c r="U538" s="8"/>
      <c r="W538" s="8"/>
      <c r="Y538" s="8"/>
      <c r="AA538" s="8"/>
      <c r="AC538" s="8"/>
      <c r="AE538" s="8"/>
    </row>
    <row r="539" spans="13:31" x14ac:dyDescent="0.4">
      <c r="M539" s="9"/>
      <c r="S539" s="8"/>
      <c r="U539" s="8"/>
      <c r="W539" s="8"/>
      <c r="Y539" s="8"/>
      <c r="AA539" s="8"/>
      <c r="AC539" s="8"/>
      <c r="AE539" s="8"/>
    </row>
    <row r="540" spans="13:31" x14ac:dyDescent="0.4">
      <c r="M540" s="9"/>
      <c r="S540" s="8"/>
      <c r="U540" s="8"/>
      <c r="W540" s="8"/>
      <c r="Y540" s="8"/>
      <c r="AA540" s="8"/>
      <c r="AC540" s="8"/>
      <c r="AE540" s="8"/>
    </row>
    <row r="541" spans="13:31" x14ac:dyDescent="0.4">
      <c r="M541" s="9"/>
      <c r="S541" s="8"/>
      <c r="U541" s="8"/>
      <c r="W541" s="8"/>
      <c r="Y541" s="8"/>
      <c r="AA541" s="8"/>
      <c r="AC541" s="8"/>
      <c r="AE541" s="8"/>
    </row>
    <row r="542" spans="13:31" x14ac:dyDescent="0.4">
      <c r="M542" s="9"/>
      <c r="S542" s="8"/>
      <c r="U542" s="8"/>
      <c r="W542" s="8"/>
      <c r="Y542" s="8"/>
      <c r="AA542" s="8"/>
      <c r="AC542" s="8"/>
      <c r="AE542" s="8"/>
    </row>
    <row r="543" spans="13:31" x14ac:dyDescent="0.4">
      <c r="M543" s="9"/>
      <c r="S543" s="8"/>
      <c r="U543" s="8"/>
      <c r="W543" s="8"/>
      <c r="Y543" s="8"/>
      <c r="AA543" s="8"/>
      <c r="AC543" s="8"/>
      <c r="AE543" s="8"/>
    </row>
    <row r="544" spans="13:31" x14ac:dyDescent="0.4">
      <c r="M544" s="9"/>
      <c r="S544" s="8"/>
      <c r="U544" s="8"/>
      <c r="W544" s="8"/>
      <c r="Y544" s="8"/>
      <c r="AA544" s="8"/>
      <c r="AC544" s="8"/>
      <c r="AE544" s="8"/>
    </row>
    <row r="545" spans="13:31" x14ac:dyDescent="0.4">
      <c r="M545" s="9"/>
      <c r="S545" s="8"/>
      <c r="U545" s="8"/>
      <c r="W545" s="8"/>
      <c r="Y545" s="8"/>
      <c r="AA545" s="8"/>
      <c r="AC545" s="8"/>
      <c r="AE545" s="8"/>
    </row>
    <row r="546" spans="13:31" x14ac:dyDescent="0.4">
      <c r="M546" s="9"/>
      <c r="S546" s="8"/>
      <c r="U546" s="8"/>
      <c r="W546" s="8"/>
      <c r="Y546" s="8"/>
      <c r="AA546" s="8"/>
      <c r="AC546" s="8"/>
      <c r="AE546" s="8"/>
    </row>
    <row r="547" spans="13:31" x14ac:dyDescent="0.4">
      <c r="M547" s="9"/>
      <c r="S547" s="8"/>
      <c r="U547" s="8"/>
      <c r="W547" s="8"/>
      <c r="Y547" s="8"/>
      <c r="AA547" s="8"/>
      <c r="AC547" s="8"/>
      <c r="AE547" s="8"/>
    </row>
    <row r="548" spans="13:31" x14ac:dyDescent="0.4">
      <c r="M548" s="9"/>
      <c r="S548" s="8"/>
      <c r="U548" s="8"/>
      <c r="W548" s="8"/>
      <c r="Y548" s="8"/>
      <c r="AA548" s="8"/>
      <c r="AC548" s="8"/>
      <c r="AE548" s="8"/>
    </row>
    <row r="549" spans="13:31" x14ac:dyDescent="0.4">
      <c r="M549" s="9"/>
      <c r="S549" s="8"/>
      <c r="U549" s="8"/>
      <c r="W549" s="8"/>
      <c r="Y549" s="8"/>
      <c r="AA549" s="8"/>
      <c r="AC549" s="8"/>
      <c r="AE549" s="8"/>
    </row>
    <row r="550" spans="13:31" x14ac:dyDescent="0.4">
      <c r="M550" s="9"/>
      <c r="S550" s="8"/>
      <c r="U550" s="8"/>
      <c r="W550" s="8"/>
      <c r="Y550" s="8"/>
      <c r="AA550" s="8"/>
      <c r="AC550" s="8"/>
      <c r="AE550" s="8"/>
    </row>
    <row r="551" spans="13:31" x14ac:dyDescent="0.4">
      <c r="M551" s="9"/>
      <c r="S551" s="8"/>
      <c r="U551" s="8"/>
      <c r="W551" s="8"/>
      <c r="Y551" s="8"/>
      <c r="AA551" s="8"/>
      <c r="AC551" s="8"/>
      <c r="AE551" s="8"/>
    </row>
    <row r="552" spans="13:31" x14ac:dyDescent="0.4">
      <c r="M552" s="9"/>
      <c r="S552" s="8"/>
      <c r="U552" s="8"/>
      <c r="W552" s="8"/>
      <c r="Y552" s="8"/>
      <c r="AA552" s="8"/>
      <c r="AC552" s="8"/>
      <c r="AE552" s="8"/>
    </row>
    <row r="553" spans="13:31" x14ac:dyDescent="0.4">
      <c r="M553" s="9"/>
      <c r="S553" s="8"/>
      <c r="U553" s="8"/>
      <c r="W553" s="8"/>
      <c r="Y553" s="8"/>
      <c r="AA553" s="8"/>
      <c r="AC553" s="8"/>
      <c r="AE553" s="8"/>
    </row>
    <row r="554" spans="13:31" x14ac:dyDescent="0.4">
      <c r="M554" s="9"/>
      <c r="S554" s="8"/>
      <c r="U554" s="8"/>
      <c r="W554" s="8"/>
      <c r="Y554" s="8"/>
      <c r="AA554" s="8"/>
      <c r="AC554" s="8"/>
      <c r="AE554" s="8"/>
    </row>
    <row r="555" spans="13:31" x14ac:dyDescent="0.4">
      <c r="M555" s="9"/>
      <c r="S555" s="8"/>
      <c r="U555" s="8"/>
      <c r="W555" s="8"/>
      <c r="Y555" s="8"/>
      <c r="AA555" s="8"/>
      <c r="AC555" s="8"/>
      <c r="AE555" s="8"/>
    </row>
    <row r="556" spans="13:31" x14ac:dyDescent="0.4">
      <c r="M556" s="9"/>
      <c r="S556" s="8"/>
      <c r="U556" s="8"/>
      <c r="W556" s="8"/>
      <c r="Y556" s="8"/>
      <c r="AA556" s="8"/>
      <c r="AC556" s="8"/>
      <c r="AE556" s="8"/>
    </row>
    <row r="557" spans="13:31" x14ac:dyDescent="0.4">
      <c r="M557" s="9"/>
      <c r="S557" s="8"/>
      <c r="U557" s="8"/>
      <c r="W557" s="8"/>
      <c r="Y557" s="8"/>
      <c r="AA557" s="8"/>
      <c r="AC557" s="8"/>
      <c r="AE557" s="8"/>
    </row>
    <row r="558" spans="13:31" x14ac:dyDescent="0.4">
      <c r="M558" s="9"/>
      <c r="S558" s="8"/>
      <c r="U558" s="8"/>
      <c r="W558" s="8"/>
      <c r="Y558" s="8"/>
      <c r="AA558" s="8"/>
      <c r="AC558" s="8"/>
      <c r="AE558" s="8"/>
    </row>
    <row r="559" spans="13:31" x14ac:dyDescent="0.4">
      <c r="M559" s="9"/>
      <c r="S559" s="8"/>
      <c r="U559" s="8"/>
      <c r="W559" s="8"/>
      <c r="Y559" s="8"/>
      <c r="AA559" s="8"/>
      <c r="AC559" s="8"/>
      <c r="AE559" s="8"/>
    </row>
    <row r="560" spans="13:31" x14ac:dyDescent="0.4">
      <c r="M560" s="9"/>
      <c r="S560" s="8"/>
      <c r="U560" s="8"/>
      <c r="W560" s="8"/>
      <c r="Y560" s="8"/>
      <c r="AA560" s="8"/>
      <c r="AC560" s="8"/>
      <c r="AE560" s="8"/>
    </row>
    <row r="561" spans="13:31" x14ac:dyDescent="0.4">
      <c r="M561" s="9"/>
      <c r="S561" s="8"/>
      <c r="U561" s="8"/>
      <c r="W561" s="8"/>
      <c r="Y561" s="8"/>
      <c r="AA561" s="8"/>
      <c r="AC561" s="8"/>
      <c r="AE561" s="8"/>
    </row>
    <row r="562" spans="13:31" x14ac:dyDescent="0.4">
      <c r="M562" s="9"/>
      <c r="S562" s="8"/>
      <c r="U562" s="8"/>
      <c r="W562" s="8"/>
      <c r="Y562" s="8"/>
      <c r="AA562" s="8"/>
      <c r="AC562" s="8"/>
      <c r="AE562" s="8"/>
    </row>
    <row r="563" spans="13:31" x14ac:dyDescent="0.4">
      <c r="M563" s="9"/>
      <c r="S563" s="8"/>
      <c r="U563" s="8"/>
      <c r="W563" s="8"/>
      <c r="Y563" s="8"/>
      <c r="AA563" s="8"/>
      <c r="AC563" s="8"/>
      <c r="AE563" s="8"/>
    </row>
    <row r="564" spans="13:31" x14ac:dyDescent="0.4">
      <c r="M564" s="9"/>
      <c r="S564" s="8"/>
      <c r="U564" s="8"/>
      <c r="W564" s="8"/>
      <c r="Y564" s="8"/>
      <c r="AA564" s="8"/>
      <c r="AC564" s="8"/>
      <c r="AE564" s="8"/>
    </row>
    <row r="565" spans="13:31" x14ac:dyDescent="0.4">
      <c r="M565" s="9"/>
      <c r="S565" s="8"/>
      <c r="U565" s="8"/>
      <c r="W565" s="8"/>
      <c r="Y565" s="8"/>
      <c r="AA565" s="8"/>
      <c r="AC565" s="8"/>
      <c r="AE565" s="8"/>
    </row>
    <row r="566" spans="13:31" x14ac:dyDescent="0.4">
      <c r="M566" s="9"/>
      <c r="S566" s="8"/>
      <c r="U566" s="8"/>
      <c r="W566" s="8"/>
      <c r="Y566" s="8"/>
      <c r="AA566" s="8"/>
      <c r="AC566" s="8"/>
      <c r="AE566" s="8"/>
    </row>
    <row r="567" spans="13:31" x14ac:dyDescent="0.4">
      <c r="M567" s="9"/>
      <c r="S567" s="8"/>
      <c r="U567" s="8"/>
      <c r="W567" s="8"/>
      <c r="Y567" s="8"/>
      <c r="AA567" s="8"/>
      <c r="AC567" s="8"/>
      <c r="AE567" s="8"/>
    </row>
    <row r="568" spans="13:31" x14ac:dyDescent="0.4">
      <c r="M568" s="9"/>
      <c r="S568" s="8"/>
      <c r="U568" s="8"/>
      <c r="W568" s="8"/>
      <c r="Y568" s="8"/>
      <c r="AA568" s="8"/>
      <c r="AC568" s="8"/>
      <c r="AE568" s="8"/>
    </row>
    <row r="569" spans="13:31" x14ac:dyDescent="0.4">
      <c r="M569" s="9"/>
      <c r="S569" s="8"/>
      <c r="U569" s="8"/>
      <c r="W569" s="8"/>
      <c r="Y569" s="8"/>
      <c r="AA569" s="8"/>
      <c r="AC569" s="8"/>
      <c r="AE569" s="8"/>
    </row>
    <row r="570" spans="13:31" x14ac:dyDescent="0.4">
      <c r="M570" s="9"/>
      <c r="S570" s="8"/>
      <c r="U570" s="8"/>
      <c r="W570" s="8"/>
      <c r="Y570" s="8"/>
      <c r="AA570" s="8"/>
      <c r="AC570" s="8"/>
      <c r="AE570" s="8"/>
    </row>
    <row r="571" spans="13:31" x14ac:dyDescent="0.4">
      <c r="M571" s="9"/>
      <c r="S571" s="8"/>
      <c r="U571" s="8"/>
      <c r="W571" s="8"/>
      <c r="Y571" s="8"/>
      <c r="AA571" s="8"/>
      <c r="AC571" s="8"/>
      <c r="AE571" s="8"/>
    </row>
    <row r="572" spans="13:31" x14ac:dyDescent="0.4">
      <c r="M572" s="9"/>
      <c r="S572" s="8"/>
      <c r="U572" s="8"/>
      <c r="W572" s="8"/>
      <c r="Y572" s="8"/>
      <c r="AA572" s="8"/>
      <c r="AC572" s="8"/>
      <c r="AE572" s="8"/>
    </row>
    <row r="573" spans="13:31" x14ac:dyDescent="0.4">
      <c r="M573" s="9"/>
      <c r="S573" s="8"/>
      <c r="U573" s="8"/>
      <c r="W573" s="8"/>
      <c r="Y573" s="8"/>
      <c r="AA573" s="8"/>
      <c r="AC573" s="8"/>
      <c r="AE573" s="8"/>
    </row>
    <row r="574" spans="13:31" x14ac:dyDescent="0.4">
      <c r="M574" s="9"/>
      <c r="S574" s="8"/>
      <c r="U574" s="8"/>
      <c r="W574" s="8"/>
      <c r="Y574" s="8"/>
      <c r="AA574" s="8"/>
      <c r="AC574" s="8"/>
      <c r="AE574" s="8"/>
    </row>
    <row r="575" spans="13:31" x14ac:dyDescent="0.4">
      <c r="M575" s="9"/>
      <c r="S575" s="8"/>
      <c r="U575" s="8"/>
      <c r="W575" s="8"/>
      <c r="Y575" s="8"/>
      <c r="AA575" s="8"/>
      <c r="AC575" s="8"/>
      <c r="AE575" s="8"/>
    </row>
    <row r="576" spans="13:31" x14ac:dyDescent="0.4">
      <c r="M576" s="9"/>
      <c r="S576" s="8"/>
      <c r="U576" s="8"/>
      <c r="W576" s="8"/>
      <c r="Y576" s="8"/>
      <c r="AA576" s="8"/>
      <c r="AC576" s="8"/>
      <c r="AE576" s="8"/>
    </row>
    <row r="577" spans="13:31" x14ac:dyDescent="0.4">
      <c r="M577" s="9"/>
      <c r="S577" s="8"/>
      <c r="U577" s="8"/>
      <c r="W577" s="8"/>
      <c r="Y577" s="8"/>
      <c r="AA577" s="8"/>
      <c r="AC577" s="8"/>
      <c r="AE577" s="8"/>
    </row>
    <row r="578" spans="13:31" x14ac:dyDescent="0.4">
      <c r="M578" s="9"/>
      <c r="S578" s="8"/>
      <c r="U578" s="8"/>
      <c r="W578" s="8"/>
      <c r="Y578" s="8"/>
      <c r="AA578" s="8"/>
      <c r="AC578" s="8"/>
      <c r="AE578" s="8"/>
    </row>
    <row r="579" spans="13:31" x14ac:dyDescent="0.4">
      <c r="M579" s="9"/>
      <c r="S579" s="8"/>
      <c r="U579" s="8"/>
      <c r="W579" s="8"/>
      <c r="Y579" s="8"/>
      <c r="AA579" s="8"/>
      <c r="AC579" s="8"/>
      <c r="AE579" s="8"/>
    </row>
    <row r="580" spans="13:31" x14ac:dyDescent="0.4">
      <c r="M580" s="9"/>
      <c r="S580" s="8"/>
      <c r="U580" s="8"/>
      <c r="W580" s="8"/>
      <c r="Y580" s="8"/>
      <c r="AA580" s="8"/>
      <c r="AC580" s="8"/>
      <c r="AE580" s="8"/>
    </row>
    <row r="581" spans="13:31" x14ac:dyDescent="0.4">
      <c r="M581" s="9"/>
      <c r="S581" s="8"/>
      <c r="U581" s="8"/>
      <c r="W581" s="8"/>
      <c r="Y581" s="8"/>
      <c r="AA581" s="8"/>
      <c r="AC581" s="8"/>
      <c r="AE581" s="8"/>
    </row>
    <row r="582" spans="13:31" x14ac:dyDescent="0.4">
      <c r="M582" s="9"/>
      <c r="S582" s="8"/>
      <c r="U582" s="8"/>
      <c r="W582" s="8"/>
      <c r="Y582" s="8"/>
      <c r="AA582" s="8"/>
      <c r="AC582" s="8"/>
      <c r="AE582" s="8"/>
    </row>
    <row r="583" spans="13:31" x14ac:dyDescent="0.4">
      <c r="M583" s="9"/>
      <c r="S583" s="8"/>
      <c r="U583" s="8"/>
      <c r="W583" s="8"/>
      <c r="Y583" s="8"/>
      <c r="AA583" s="8"/>
      <c r="AC583" s="8"/>
      <c r="AE583" s="8"/>
    </row>
    <row r="584" spans="13:31" x14ac:dyDescent="0.4">
      <c r="M584" s="9"/>
      <c r="S584" s="8"/>
      <c r="U584" s="8"/>
      <c r="W584" s="8"/>
      <c r="Y584" s="8"/>
      <c r="AA584" s="8"/>
      <c r="AC584" s="8"/>
      <c r="AE584" s="8"/>
    </row>
    <row r="585" spans="13:31" x14ac:dyDescent="0.4">
      <c r="M585" s="9"/>
      <c r="S585" s="8"/>
      <c r="U585" s="8"/>
      <c r="W585" s="8"/>
      <c r="Y585" s="8"/>
      <c r="AA585" s="8"/>
      <c r="AC585" s="8"/>
      <c r="AE585" s="8"/>
    </row>
    <row r="586" spans="13:31" x14ac:dyDescent="0.4">
      <c r="M586" s="9"/>
      <c r="S586" s="8"/>
      <c r="U586" s="8"/>
      <c r="W586" s="8"/>
      <c r="Y586" s="8"/>
      <c r="AA586" s="8"/>
      <c r="AC586" s="8"/>
      <c r="AE586" s="8"/>
    </row>
    <row r="587" spans="13:31" x14ac:dyDescent="0.4">
      <c r="M587" s="9"/>
      <c r="S587" s="8"/>
      <c r="U587" s="8"/>
      <c r="W587" s="8"/>
      <c r="Y587" s="8"/>
      <c r="AA587" s="8"/>
      <c r="AC587" s="8"/>
      <c r="AE587" s="8"/>
    </row>
    <row r="588" spans="13:31" x14ac:dyDescent="0.4">
      <c r="M588" s="9"/>
      <c r="S588" s="8"/>
      <c r="U588" s="8"/>
      <c r="W588" s="8"/>
      <c r="Y588" s="8"/>
      <c r="AA588" s="8"/>
      <c r="AC588" s="8"/>
      <c r="AE588" s="8"/>
    </row>
    <row r="589" spans="13:31" x14ac:dyDescent="0.4">
      <c r="M589" s="9"/>
      <c r="S589" s="8"/>
      <c r="U589" s="8"/>
      <c r="W589" s="8"/>
      <c r="Y589" s="8"/>
      <c r="AA589" s="8"/>
      <c r="AC589" s="8"/>
      <c r="AE589" s="8"/>
    </row>
    <row r="590" spans="13:31" x14ac:dyDescent="0.4">
      <c r="M590" s="9"/>
      <c r="S590" s="8"/>
      <c r="U590" s="8"/>
      <c r="W590" s="8"/>
      <c r="Y590" s="8"/>
      <c r="AA590" s="8"/>
      <c r="AC590" s="8"/>
      <c r="AE590" s="8"/>
    </row>
    <row r="591" spans="13:31" x14ac:dyDescent="0.4">
      <c r="M591" s="9"/>
      <c r="S591" s="8"/>
      <c r="U591" s="8"/>
      <c r="W591" s="8"/>
      <c r="Y591" s="8"/>
      <c r="AA591" s="8"/>
      <c r="AC591" s="8"/>
      <c r="AE591" s="8"/>
    </row>
    <row r="592" spans="13:31" x14ac:dyDescent="0.4">
      <c r="M592" s="9"/>
      <c r="S592" s="8"/>
      <c r="U592" s="8"/>
      <c r="W592" s="8"/>
      <c r="Y592" s="8"/>
      <c r="AA592" s="8"/>
      <c r="AC592" s="8"/>
      <c r="AE592" s="8"/>
    </row>
    <row r="593" spans="13:31" x14ac:dyDescent="0.4">
      <c r="M593" s="9"/>
      <c r="S593" s="8"/>
      <c r="U593" s="8"/>
      <c r="W593" s="8"/>
      <c r="Y593" s="8"/>
      <c r="AA593" s="8"/>
      <c r="AC593" s="8"/>
      <c r="AE593" s="8"/>
    </row>
    <row r="594" spans="13:31" x14ac:dyDescent="0.4">
      <c r="M594" s="9"/>
      <c r="S594" s="8"/>
      <c r="U594" s="8"/>
      <c r="W594" s="8"/>
      <c r="Y594" s="8"/>
      <c r="AA594" s="8"/>
      <c r="AC594" s="8"/>
      <c r="AE594" s="8"/>
    </row>
    <row r="595" spans="13:31" x14ac:dyDescent="0.4">
      <c r="M595" s="9"/>
      <c r="S595" s="8"/>
      <c r="U595" s="8"/>
      <c r="W595" s="8"/>
      <c r="Y595" s="8"/>
      <c r="AA595" s="8"/>
      <c r="AC595" s="8"/>
      <c r="AE595" s="8"/>
    </row>
    <row r="596" spans="13:31" x14ac:dyDescent="0.4">
      <c r="M596" s="9"/>
      <c r="S596" s="8"/>
      <c r="U596" s="8"/>
      <c r="W596" s="8"/>
      <c r="Y596" s="8"/>
      <c r="AA596" s="8"/>
      <c r="AC596" s="8"/>
      <c r="AE596" s="8"/>
    </row>
    <row r="597" spans="13:31" x14ac:dyDescent="0.4">
      <c r="M597" s="9"/>
      <c r="S597" s="8"/>
      <c r="U597" s="8"/>
      <c r="W597" s="8"/>
      <c r="Y597" s="8"/>
      <c r="AA597" s="8"/>
      <c r="AC597" s="8"/>
      <c r="AE597" s="8"/>
    </row>
    <row r="598" spans="13:31" x14ac:dyDescent="0.4">
      <c r="M598" s="9"/>
      <c r="S598" s="8"/>
      <c r="U598" s="8"/>
      <c r="W598" s="8"/>
      <c r="Y598" s="8"/>
      <c r="AA598" s="8"/>
      <c r="AC598" s="8"/>
      <c r="AE598" s="8"/>
    </row>
    <row r="599" spans="13:31" x14ac:dyDescent="0.4">
      <c r="M599" s="9"/>
      <c r="S599" s="8"/>
      <c r="U599" s="8"/>
      <c r="W599" s="8"/>
      <c r="Y599" s="8"/>
      <c r="AA599" s="8"/>
      <c r="AC599" s="8"/>
      <c r="AE599" s="8"/>
    </row>
    <row r="600" spans="13:31" x14ac:dyDescent="0.4">
      <c r="M600" s="9"/>
      <c r="S600" s="8"/>
      <c r="U600" s="8"/>
      <c r="W600" s="8"/>
      <c r="Y600" s="8"/>
      <c r="AA600" s="8"/>
      <c r="AC600" s="8"/>
      <c r="AE600" s="8"/>
    </row>
    <row r="601" spans="13:31" x14ac:dyDescent="0.4">
      <c r="M601" s="9"/>
      <c r="S601" s="8"/>
      <c r="U601" s="8"/>
      <c r="W601" s="8"/>
      <c r="Y601" s="8"/>
      <c r="AA601" s="8"/>
      <c r="AC601" s="8"/>
      <c r="AE601" s="8"/>
    </row>
    <row r="602" spans="13:31" x14ac:dyDescent="0.4">
      <c r="M602" s="9"/>
      <c r="S602" s="8"/>
      <c r="U602" s="8"/>
      <c r="W602" s="8"/>
      <c r="Y602" s="8"/>
      <c r="AA602" s="8"/>
      <c r="AC602" s="8"/>
      <c r="AE602" s="8"/>
    </row>
    <row r="603" spans="13:31" x14ac:dyDescent="0.4">
      <c r="M603" s="9"/>
      <c r="S603" s="8"/>
      <c r="U603" s="8"/>
      <c r="W603" s="8"/>
      <c r="Y603" s="8"/>
      <c r="AA603" s="8"/>
      <c r="AC603" s="8"/>
      <c r="AE603" s="8"/>
    </row>
    <row r="604" spans="13:31" x14ac:dyDescent="0.4">
      <c r="M604" s="9"/>
      <c r="S604" s="8"/>
      <c r="U604" s="8"/>
      <c r="W604" s="8"/>
      <c r="Y604" s="8"/>
      <c r="AA604" s="8"/>
      <c r="AC604" s="8"/>
      <c r="AE604" s="8"/>
    </row>
    <row r="605" spans="13:31" x14ac:dyDescent="0.4">
      <c r="M605" s="9"/>
      <c r="S605" s="8"/>
      <c r="U605" s="8"/>
      <c r="W605" s="8"/>
      <c r="Y605" s="8"/>
      <c r="AA605" s="8"/>
      <c r="AC605" s="8"/>
      <c r="AE605" s="8"/>
    </row>
    <row r="606" spans="13:31" x14ac:dyDescent="0.4">
      <c r="M606" s="9"/>
      <c r="S606" s="8"/>
      <c r="U606" s="8"/>
      <c r="W606" s="8"/>
      <c r="Y606" s="8"/>
      <c r="AA606" s="8"/>
      <c r="AC606" s="8"/>
      <c r="AE606" s="8"/>
    </row>
    <row r="607" spans="13:31" x14ac:dyDescent="0.4">
      <c r="M607" s="9"/>
      <c r="S607" s="8"/>
      <c r="U607" s="8"/>
      <c r="W607" s="8"/>
      <c r="Y607" s="8"/>
      <c r="AA607" s="8"/>
      <c r="AC607" s="8"/>
      <c r="AE607" s="8"/>
    </row>
    <row r="608" spans="13:31" x14ac:dyDescent="0.4">
      <c r="M608" s="9"/>
      <c r="S608" s="8"/>
      <c r="U608" s="8"/>
      <c r="W608" s="8"/>
      <c r="Y608" s="8"/>
      <c r="AA608" s="8"/>
      <c r="AC608" s="8"/>
      <c r="AE608" s="8"/>
    </row>
    <row r="609" spans="13:31" x14ac:dyDescent="0.4">
      <c r="M609" s="9"/>
      <c r="S609" s="8"/>
      <c r="U609" s="8"/>
      <c r="W609" s="8"/>
      <c r="Y609" s="8"/>
      <c r="AA609" s="8"/>
      <c r="AC609" s="8"/>
      <c r="AE609" s="8"/>
    </row>
    <row r="610" spans="13:31" x14ac:dyDescent="0.4">
      <c r="M610" s="9"/>
      <c r="S610" s="8"/>
      <c r="U610" s="8"/>
      <c r="W610" s="8"/>
      <c r="Y610" s="8"/>
      <c r="AA610" s="8"/>
      <c r="AC610" s="8"/>
      <c r="AE610" s="8"/>
    </row>
    <row r="611" spans="13:31" x14ac:dyDescent="0.4">
      <c r="M611" s="9"/>
      <c r="S611" s="8"/>
      <c r="U611" s="8"/>
      <c r="W611" s="8"/>
      <c r="Y611" s="8"/>
      <c r="AA611" s="8"/>
      <c r="AC611" s="8"/>
      <c r="AE611" s="8"/>
    </row>
    <row r="612" spans="13:31" x14ac:dyDescent="0.4">
      <c r="M612" s="9"/>
      <c r="S612" s="8"/>
      <c r="U612" s="8"/>
      <c r="W612" s="8"/>
      <c r="Y612" s="8"/>
      <c r="AA612" s="8"/>
      <c r="AC612" s="8"/>
      <c r="AE612" s="8"/>
    </row>
    <row r="613" spans="13:31" x14ac:dyDescent="0.4">
      <c r="M613" s="9"/>
      <c r="S613" s="8"/>
      <c r="U613" s="8"/>
      <c r="W613" s="8"/>
      <c r="Y613" s="8"/>
      <c r="AA613" s="8"/>
      <c r="AC613" s="8"/>
      <c r="AE613" s="8"/>
    </row>
    <row r="614" spans="13:31" x14ac:dyDescent="0.4">
      <c r="M614" s="9"/>
      <c r="S614" s="8"/>
      <c r="U614" s="8"/>
      <c r="W614" s="8"/>
      <c r="Y614" s="8"/>
      <c r="AA614" s="8"/>
      <c r="AC614" s="8"/>
      <c r="AE614" s="8"/>
    </row>
    <row r="615" spans="13:31" x14ac:dyDescent="0.4">
      <c r="M615" s="9"/>
      <c r="S615" s="8"/>
      <c r="U615" s="8"/>
      <c r="W615" s="8"/>
      <c r="Y615" s="8"/>
      <c r="AA615" s="8"/>
      <c r="AC615" s="8"/>
      <c r="AE615" s="8"/>
    </row>
    <row r="616" spans="13:31" x14ac:dyDescent="0.4">
      <c r="M616" s="9"/>
      <c r="S616" s="8"/>
      <c r="U616" s="8"/>
      <c r="W616" s="8"/>
      <c r="Y616" s="8"/>
      <c r="AA616" s="8"/>
      <c r="AC616" s="8"/>
      <c r="AE616" s="8"/>
    </row>
    <row r="617" spans="13:31" x14ac:dyDescent="0.4">
      <c r="M617" s="9"/>
      <c r="S617" s="8"/>
      <c r="U617" s="8"/>
      <c r="W617" s="8"/>
      <c r="Y617" s="8"/>
      <c r="AA617" s="8"/>
      <c r="AC617" s="8"/>
      <c r="AE617" s="8"/>
    </row>
    <row r="618" spans="13:31" x14ac:dyDescent="0.4">
      <c r="M618" s="9"/>
      <c r="S618" s="8"/>
      <c r="U618" s="8"/>
      <c r="W618" s="8"/>
      <c r="Y618" s="8"/>
      <c r="AA618" s="8"/>
      <c r="AC618" s="8"/>
      <c r="AE618" s="8"/>
    </row>
    <row r="619" spans="13:31" x14ac:dyDescent="0.4">
      <c r="M619" s="9"/>
      <c r="S619" s="8"/>
      <c r="U619" s="8"/>
      <c r="W619" s="8"/>
      <c r="Y619" s="8"/>
      <c r="AA619" s="8"/>
      <c r="AC619" s="8"/>
      <c r="AE619" s="8"/>
    </row>
    <row r="620" spans="13:31" x14ac:dyDescent="0.4">
      <c r="M620" s="9"/>
      <c r="S620" s="8"/>
      <c r="U620" s="8"/>
      <c r="W620" s="8"/>
      <c r="Y620" s="8"/>
      <c r="AA620" s="8"/>
      <c r="AC620" s="8"/>
      <c r="AE620" s="8"/>
    </row>
    <row r="621" spans="13:31" x14ac:dyDescent="0.4">
      <c r="M621" s="9"/>
      <c r="S621" s="8"/>
      <c r="U621" s="8"/>
      <c r="W621" s="8"/>
      <c r="Y621" s="8"/>
      <c r="AA621" s="8"/>
      <c r="AC621" s="8"/>
      <c r="AE621" s="8"/>
    </row>
    <row r="622" spans="13:31" x14ac:dyDescent="0.4">
      <c r="M622" s="9"/>
      <c r="S622" s="8"/>
      <c r="U622" s="8"/>
      <c r="W622" s="8"/>
      <c r="Y622" s="8"/>
      <c r="AA622" s="8"/>
      <c r="AC622" s="8"/>
      <c r="AE622" s="8"/>
    </row>
    <row r="623" spans="13:31" x14ac:dyDescent="0.4">
      <c r="M623" s="9"/>
      <c r="S623" s="8"/>
      <c r="U623" s="8"/>
      <c r="W623" s="8"/>
      <c r="Y623" s="8"/>
      <c r="AA623" s="8"/>
      <c r="AC623" s="8"/>
      <c r="AE623" s="8"/>
    </row>
    <row r="624" spans="13:31" x14ac:dyDescent="0.4">
      <c r="M624" s="9"/>
      <c r="S624" s="8"/>
      <c r="U624" s="8"/>
      <c r="W624" s="8"/>
      <c r="Y624" s="8"/>
      <c r="AA624" s="8"/>
      <c r="AC624" s="8"/>
      <c r="AE624" s="8"/>
    </row>
    <row r="625" spans="13:31" x14ac:dyDescent="0.4">
      <c r="M625" s="9"/>
      <c r="S625" s="8"/>
      <c r="U625" s="8"/>
      <c r="W625" s="8"/>
      <c r="Y625" s="8"/>
      <c r="AA625" s="8"/>
      <c r="AC625" s="8"/>
      <c r="AE625" s="8"/>
    </row>
    <row r="626" spans="13:31" x14ac:dyDescent="0.4">
      <c r="M626" s="9"/>
      <c r="S626" s="8"/>
      <c r="U626" s="8"/>
      <c r="W626" s="8"/>
      <c r="Y626" s="8"/>
      <c r="AA626" s="8"/>
      <c r="AC626" s="8"/>
      <c r="AE626" s="8"/>
    </row>
    <row r="627" spans="13:31" x14ac:dyDescent="0.4">
      <c r="M627" s="9"/>
      <c r="S627" s="8"/>
      <c r="U627" s="8"/>
      <c r="W627" s="8"/>
      <c r="Y627" s="8"/>
      <c r="AA627" s="8"/>
      <c r="AC627" s="8"/>
      <c r="AE627" s="8"/>
    </row>
    <row r="628" spans="13:31" x14ac:dyDescent="0.4">
      <c r="M628" s="9"/>
      <c r="S628" s="8"/>
      <c r="U628" s="8"/>
      <c r="W628" s="8"/>
      <c r="Y628" s="8"/>
      <c r="AA628" s="8"/>
      <c r="AC628" s="8"/>
      <c r="AE628" s="8"/>
    </row>
    <row r="629" spans="13:31" x14ac:dyDescent="0.4">
      <c r="M629" s="9"/>
      <c r="S629" s="8"/>
      <c r="U629" s="8"/>
      <c r="W629" s="8"/>
      <c r="Y629" s="8"/>
      <c r="AA629" s="8"/>
      <c r="AC629" s="8"/>
      <c r="AE629" s="8"/>
    </row>
    <row r="630" spans="13:31" x14ac:dyDescent="0.4">
      <c r="M630" s="9"/>
      <c r="S630" s="8"/>
      <c r="U630" s="8"/>
      <c r="W630" s="8"/>
      <c r="Y630" s="8"/>
      <c r="AA630" s="8"/>
      <c r="AC630" s="8"/>
      <c r="AE630" s="8"/>
    </row>
    <row r="631" spans="13:31" x14ac:dyDescent="0.4">
      <c r="M631" s="9"/>
      <c r="S631" s="8"/>
      <c r="U631" s="8"/>
      <c r="W631" s="8"/>
      <c r="Y631" s="8"/>
      <c r="AA631" s="8"/>
      <c r="AC631" s="8"/>
      <c r="AE631" s="8"/>
    </row>
    <row r="632" spans="13:31" x14ac:dyDescent="0.4">
      <c r="M632" s="9"/>
      <c r="S632" s="8"/>
      <c r="U632" s="8"/>
      <c r="W632" s="8"/>
      <c r="Y632" s="8"/>
      <c r="AA632" s="8"/>
      <c r="AC632" s="8"/>
      <c r="AE632" s="8"/>
    </row>
    <row r="633" spans="13:31" x14ac:dyDescent="0.4">
      <c r="M633" s="9"/>
      <c r="S633" s="8"/>
      <c r="U633" s="8"/>
      <c r="W633" s="8"/>
      <c r="Y633" s="8"/>
      <c r="AA633" s="8"/>
      <c r="AC633" s="8"/>
      <c r="AE633" s="8"/>
    </row>
    <row r="634" spans="13:31" x14ac:dyDescent="0.4">
      <c r="M634" s="9"/>
      <c r="S634" s="8"/>
      <c r="U634" s="8"/>
      <c r="W634" s="8"/>
      <c r="Y634" s="8"/>
      <c r="AA634" s="8"/>
      <c r="AC634" s="8"/>
      <c r="AE634" s="8"/>
    </row>
    <row r="635" spans="13:31" x14ac:dyDescent="0.4">
      <c r="M635" s="9"/>
      <c r="S635" s="8"/>
      <c r="U635" s="8"/>
      <c r="W635" s="8"/>
      <c r="Y635" s="8"/>
      <c r="AA635" s="8"/>
      <c r="AC635" s="8"/>
      <c r="AE635" s="8"/>
    </row>
    <row r="636" spans="13:31" x14ac:dyDescent="0.4">
      <c r="M636" s="9"/>
      <c r="S636" s="8"/>
      <c r="U636" s="8"/>
      <c r="W636" s="8"/>
      <c r="Y636" s="8"/>
      <c r="AA636" s="8"/>
      <c r="AC636" s="8"/>
      <c r="AE636" s="8"/>
    </row>
    <row r="637" spans="13:31" x14ac:dyDescent="0.4">
      <c r="M637" s="9"/>
      <c r="S637" s="8"/>
      <c r="U637" s="8"/>
      <c r="W637" s="8"/>
      <c r="Y637" s="8"/>
      <c r="AA637" s="8"/>
      <c r="AC637" s="8"/>
      <c r="AE637" s="8"/>
    </row>
    <row r="638" spans="13:31" x14ac:dyDescent="0.4">
      <c r="M638" s="9"/>
      <c r="S638" s="8"/>
      <c r="U638" s="8"/>
      <c r="W638" s="8"/>
      <c r="Y638" s="8"/>
      <c r="AA638" s="8"/>
      <c r="AC638" s="8"/>
      <c r="AE638" s="8"/>
    </row>
    <row r="639" spans="13:31" x14ac:dyDescent="0.4">
      <c r="M639" s="9"/>
      <c r="S639" s="8"/>
      <c r="U639" s="8"/>
      <c r="W639" s="8"/>
      <c r="Y639" s="8"/>
      <c r="AA639" s="8"/>
      <c r="AC639" s="8"/>
      <c r="AE639" s="8"/>
    </row>
    <row r="640" spans="13:31" x14ac:dyDescent="0.4">
      <c r="M640" s="9"/>
      <c r="S640" s="8"/>
      <c r="U640" s="8"/>
      <c r="W640" s="8"/>
      <c r="Y640" s="8"/>
      <c r="AA640" s="8"/>
      <c r="AC640" s="8"/>
      <c r="AE640" s="8"/>
    </row>
    <row r="641" spans="13:31" x14ac:dyDescent="0.4">
      <c r="M641" s="9"/>
      <c r="S641" s="8"/>
      <c r="U641" s="8"/>
      <c r="W641" s="8"/>
      <c r="Y641" s="8"/>
      <c r="AA641" s="8"/>
      <c r="AC641" s="8"/>
      <c r="AE641" s="8"/>
    </row>
    <row r="642" spans="13:31" x14ac:dyDescent="0.4">
      <c r="M642" s="9"/>
      <c r="S642" s="8"/>
      <c r="U642" s="8"/>
      <c r="W642" s="8"/>
      <c r="Y642" s="8"/>
      <c r="AA642" s="8"/>
      <c r="AC642" s="8"/>
      <c r="AE642" s="8"/>
    </row>
    <row r="643" spans="13:31" x14ac:dyDescent="0.4">
      <c r="M643" s="9"/>
      <c r="S643" s="8"/>
      <c r="U643" s="8"/>
      <c r="W643" s="8"/>
      <c r="Y643" s="8"/>
      <c r="AA643" s="8"/>
      <c r="AC643" s="8"/>
      <c r="AE643" s="8"/>
    </row>
    <row r="644" spans="13:31" x14ac:dyDescent="0.4">
      <c r="M644" s="9"/>
      <c r="S644" s="8"/>
      <c r="U644" s="8"/>
      <c r="W644" s="8"/>
      <c r="Y644" s="8"/>
      <c r="AA644" s="8"/>
      <c r="AC644" s="8"/>
      <c r="AE644" s="8"/>
    </row>
    <row r="645" spans="13:31" x14ac:dyDescent="0.4">
      <c r="M645" s="9"/>
      <c r="S645" s="8"/>
      <c r="U645" s="8"/>
      <c r="W645" s="8"/>
      <c r="Y645" s="8"/>
      <c r="AA645" s="8"/>
      <c r="AC645" s="8"/>
      <c r="AE645" s="8"/>
    </row>
    <row r="646" spans="13:31" x14ac:dyDescent="0.4">
      <c r="M646" s="9"/>
      <c r="S646" s="8"/>
      <c r="U646" s="8"/>
      <c r="W646" s="8"/>
      <c r="Y646" s="8"/>
      <c r="AA646" s="8"/>
      <c r="AC646" s="8"/>
      <c r="AE646" s="8"/>
    </row>
    <row r="647" spans="13:31" x14ac:dyDescent="0.4">
      <c r="M647" s="9"/>
      <c r="S647" s="8"/>
      <c r="U647" s="8"/>
      <c r="W647" s="8"/>
      <c r="Y647" s="8"/>
      <c r="AA647" s="8"/>
      <c r="AC647" s="8"/>
      <c r="AE647" s="8"/>
    </row>
    <row r="648" spans="13:31" x14ac:dyDescent="0.4">
      <c r="M648" s="9"/>
      <c r="S648" s="8"/>
      <c r="U648" s="8"/>
      <c r="W648" s="8"/>
      <c r="Y648" s="8"/>
      <c r="AA648" s="8"/>
      <c r="AC648" s="8"/>
      <c r="AE648" s="8"/>
    </row>
    <row r="649" spans="13:31" x14ac:dyDescent="0.4">
      <c r="M649" s="9"/>
      <c r="S649" s="8"/>
      <c r="U649" s="8"/>
      <c r="W649" s="8"/>
      <c r="Y649" s="8"/>
      <c r="AA649" s="8"/>
      <c r="AC649" s="8"/>
      <c r="AE649" s="8"/>
    </row>
    <row r="650" spans="13:31" x14ac:dyDescent="0.4">
      <c r="M650" s="9"/>
      <c r="S650" s="8"/>
      <c r="U650" s="8"/>
      <c r="W650" s="8"/>
      <c r="Y650" s="8"/>
      <c r="AA650" s="8"/>
      <c r="AC650" s="8"/>
      <c r="AE650" s="8"/>
    </row>
    <row r="651" spans="13:31" x14ac:dyDescent="0.4">
      <c r="M651" s="9"/>
      <c r="S651" s="8"/>
      <c r="U651" s="8"/>
      <c r="W651" s="8"/>
      <c r="Y651" s="8"/>
      <c r="AA651" s="8"/>
      <c r="AC651" s="8"/>
      <c r="AE651" s="8"/>
    </row>
    <row r="652" spans="13:31" x14ac:dyDescent="0.4">
      <c r="M652" s="9"/>
      <c r="S652" s="8"/>
      <c r="U652" s="8"/>
      <c r="W652" s="8"/>
      <c r="Y652" s="8"/>
      <c r="AA652" s="8"/>
      <c r="AC652" s="8"/>
      <c r="AE652" s="8"/>
    </row>
    <row r="653" spans="13:31" x14ac:dyDescent="0.4">
      <c r="M653" s="9"/>
      <c r="S653" s="8"/>
      <c r="U653" s="8"/>
      <c r="W653" s="8"/>
      <c r="Y653" s="8"/>
      <c r="AA653" s="8"/>
      <c r="AC653" s="8"/>
      <c r="AE653" s="8"/>
    </row>
    <row r="654" spans="13:31" x14ac:dyDescent="0.4">
      <c r="M654" s="9"/>
      <c r="S654" s="8"/>
      <c r="U654" s="8"/>
      <c r="W654" s="8"/>
      <c r="Y654" s="8"/>
      <c r="AA654" s="8"/>
      <c r="AC654" s="8"/>
      <c r="AE654" s="8"/>
    </row>
    <row r="655" spans="13:31" x14ac:dyDescent="0.4">
      <c r="M655" s="9"/>
      <c r="S655" s="8"/>
      <c r="U655" s="8"/>
      <c r="W655" s="8"/>
      <c r="Y655" s="8"/>
      <c r="AA655" s="8"/>
      <c r="AC655" s="8"/>
      <c r="AE655" s="8"/>
    </row>
    <row r="656" spans="13:31" x14ac:dyDescent="0.4">
      <c r="M656" s="9"/>
      <c r="S656" s="8"/>
      <c r="U656" s="8"/>
      <c r="W656" s="8"/>
      <c r="Y656" s="8"/>
      <c r="AA656" s="8"/>
      <c r="AC656" s="8"/>
      <c r="AE656" s="8"/>
    </row>
    <row r="657" spans="13:31" x14ac:dyDescent="0.4">
      <c r="M657" s="9"/>
      <c r="S657" s="8"/>
      <c r="U657" s="8"/>
      <c r="W657" s="8"/>
      <c r="Y657" s="8"/>
      <c r="AA657" s="8"/>
      <c r="AC657" s="8"/>
      <c r="AE657" s="8"/>
    </row>
    <row r="658" spans="13:31" x14ac:dyDescent="0.4">
      <c r="M658" s="9"/>
      <c r="S658" s="8"/>
      <c r="U658" s="8"/>
      <c r="W658" s="8"/>
      <c r="Y658" s="8"/>
      <c r="AA658" s="8"/>
      <c r="AC658" s="8"/>
      <c r="AE658" s="8"/>
    </row>
    <row r="659" spans="13:31" x14ac:dyDescent="0.4">
      <c r="M659" s="9"/>
      <c r="S659" s="8"/>
      <c r="U659" s="8"/>
      <c r="W659" s="8"/>
      <c r="Y659" s="8"/>
      <c r="AA659" s="8"/>
      <c r="AC659" s="8"/>
      <c r="AE659" s="8"/>
    </row>
    <row r="660" spans="13:31" x14ac:dyDescent="0.4">
      <c r="M660" s="9"/>
      <c r="S660" s="8"/>
      <c r="U660" s="8"/>
      <c r="W660" s="8"/>
      <c r="Y660" s="8"/>
      <c r="AA660" s="8"/>
      <c r="AC660" s="8"/>
      <c r="AE660" s="8"/>
    </row>
    <row r="661" spans="13:31" x14ac:dyDescent="0.4">
      <c r="M661" s="9"/>
      <c r="S661" s="8"/>
      <c r="U661" s="8"/>
      <c r="W661" s="8"/>
      <c r="Y661" s="8"/>
      <c r="AA661" s="8"/>
      <c r="AC661" s="8"/>
      <c r="AE661" s="8"/>
    </row>
    <row r="662" spans="13:31" x14ac:dyDescent="0.4">
      <c r="M662" s="9"/>
      <c r="S662" s="8"/>
      <c r="U662" s="8"/>
      <c r="W662" s="8"/>
      <c r="Y662" s="8"/>
      <c r="AA662" s="8"/>
      <c r="AC662" s="8"/>
      <c r="AE662" s="8"/>
    </row>
    <row r="663" spans="13:31" x14ac:dyDescent="0.4">
      <c r="M663" s="9"/>
      <c r="S663" s="8"/>
      <c r="U663" s="8"/>
      <c r="W663" s="8"/>
      <c r="Y663" s="8"/>
      <c r="AA663" s="8"/>
      <c r="AC663" s="8"/>
      <c r="AE663" s="8"/>
    </row>
    <row r="664" spans="13:31" x14ac:dyDescent="0.4">
      <c r="M664" s="9"/>
      <c r="S664" s="8"/>
      <c r="U664" s="8"/>
      <c r="W664" s="8"/>
      <c r="Y664" s="8"/>
      <c r="AA664" s="8"/>
      <c r="AC664" s="8"/>
      <c r="AE664" s="8"/>
    </row>
    <row r="665" spans="13:31" x14ac:dyDescent="0.4">
      <c r="M665" s="9"/>
      <c r="S665" s="8"/>
      <c r="U665" s="8"/>
      <c r="W665" s="8"/>
      <c r="Y665" s="8"/>
      <c r="AA665" s="8"/>
      <c r="AC665" s="8"/>
      <c r="AE665" s="8"/>
    </row>
    <row r="666" spans="13:31" x14ac:dyDescent="0.4">
      <c r="M666" s="9"/>
      <c r="S666" s="8"/>
      <c r="U666" s="8"/>
      <c r="W666" s="8"/>
      <c r="Y666" s="8"/>
      <c r="AA666" s="8"/>
      <c r="AC666" s="8"/>
      <c r="AE666" s="8"/>
    </row>
    <row r="667" spans="13:31" x14ac:dyDescent="0.4">
      <c r="M667" s="9"/>
      <c r="S667" s="8"/>
      <c r="U667" s="8"/>
      <c r="W667" s="8"/>
      <c r="Y667" s="8"/>
      <c r="AA667" s="8"/>
      <c r="AC667" s="8"/>
      <c r="AE667" s="8"/>
    </row>
    <row r="668" spans="13:31" x14ac:dyDescent="0.4">
      <c r="M668" s="9"/>
      <c r="S668" s="8"/>
      <c r="U668" s="8"/>
      <c r="W668" s="8"/>
      <c r="Y668" s="8"/>
      <c r="AA668" s="8"/>
      <c r="AC668" s="8"/>
      <c r="AE668" s="8"/>
    </row>
    <row r="669" spans="13:31" x14ac:dyDescent="0.4">
      <c r="M669" s="9"/>
      <c r="S669" s="8"/>
      <c r="U669" s="8"/>
      <c r="W669" s="8"/>
      <c r="Y669" s="8"/>
      <c r="AA669" s="8"/>
      <c r="AC669" s="8"/>
      <c r="AE669" s="8"/>
    </row>
    <row r="670" spans="13:31" x14ac:dyDescent="0.4">
      <c r="M670" s="9"/>
      <c r="S670" s="8"/>
      <c r="U670" s="8"/>
      <c r="W670" s="8"/>
      <c r="Y670" s="8"/>
      <c r="AA670" s="8"/>
      <c r="AC670" s="8"/>
      <c r="AE670" s="8"/>
    </row>
    <row r="671" spans="13:31" x14ac:dyDescent="0.4">
      <c r="M671" s="9"/>
      <c r="S671" s="8"/>
      <c r="U671" s="8"/>
      <c r="W671" s="8"/>
      <c r="Y671" s="8"/>
      <c r="AA671" s="8"/>
      <c r="AC671" s="8"/>
      <c r="AE671" s="8"/>
    </row>
    <row r="672" spans="13:31" x14ac:dyDescent="0.4">
      <c r="M672" s="9"/>
      <c r="S672" s="8"/>
      <c r="U672" s="8"/>
      <c r="W672" s="8"/>
      <c r="Y672" s="8"/>
      <c r="AA672" s="8"/>
      <c r="AC672" s="8"/>
      <c r="AE672" s="8"/>
    </row>
    <row r="673" spans="13:31" x14ac:dyDescent="0.4">
      <c r="M673" s="9"/>
      <c r="S673" s="8"/>
      <c r="U673" s="8"/>
      <c r="W673" s="8"/>
      <c r="Y673" s="8"/>
      <c r="AA673" s="8"/>
      <c r="AC673" s="8"/>
      <c r="AE673" s="8"/>
    </row>
    <row r="674" spans="13:31" x14ac:dyDescent="0.4">
      <c r="M674" s="9"/>
      <c r="S674" s="8"/>
      <c r="U674" s="8"/>
      <c r="W674" s="8"/>
      <c r="Y674" s="8"/>
      <c r="AA674" s="8"/>
      <c r="AC674" s="8"/>
      <c r="AE674" s="8"/>
    </row>
    <row r="675" spans="13:31" x14ac:dyDescent="0.4">
      <c r="M675" s="9"/>
      <c r="S675" s="8"/>
      <c r="U675" s="8"/>
      <c r="W675" s="8"/>
      <c r="Y675" s="8"/>
      <c r="AA675" s="8"/>
      <c r="AC675" s="8"/>
      <c r="AE675" s="8"/>
    </row>
    <row r="676" spans="13:31" x14ac:dyDescent="0.4">
      <c r="M676" s="9"/>
      <c r="S676" s="8"/>
      <c r="U676" s="8"/>
      <c r="W676" s="8"/>
      <c r="Y676" s="8"/>
      <c r="AA676" s="8"/>
      <c r="AC676" s="8"/>
      <c r="AE676" s="8"/>
    </row>
    <row r="677" spans="13:31" x14ac:dyDescent="0.4">
      <c r="M677" s="9"/>
      <c r="S677" s="8"/>
      <c r="U677" s="8"/>
      <c r="W677" s="8"/>
      <c r="Y677" s="8"/>
      <c r="AA677" s="8"/>
      <c r="AC677" s="8"/>
      <c r="AE677" s="8"/>
    </row>
    <row r="678" spans="13:31" x14ac:dyDescent="0.4">
      <c r="M678" s="9"/>
      <c r="S678" s="8"/>
      <c r="U678" s="8"/>
      <c r="W678" s="8"/>
      <c r="Y678" s="8"/>
      <c r="AA678" s="8"/>
      <c r="AC678" s="8"/>
      <c r="AE678" s="8"/>
    </row>
    <row r="679" spans="13:31" x14ac:dyDescent="0.4">
      <c r="M679" s="9"/>
      <c r="S679" s="8"/>
      <c r="U679" s="8"/>
      <c r="W679" s="8"/>
      <c r="Y679" s="8"/>
      <c r="AA679" s="8"/>
      <c r="AC679" s="8"/>
      <c r="AE679" s="8"/>
    </row>
    <row r="680" spans="13:31" x14ac:dyDescent="0.4">
      <c r="M680" s="9"/>
      <c r="S680" s="8"/>
      <c r="U680" s="8"/>
      <c r="W680" s="8"/>
      <c r="Y680" s="8"/>
      <c r="AA680" s="8"/>
      <c r="AC680" s="8"/>
      <c r="AE680" s="8"/>
    </row>
    <row r="681" spans="13:31" x14ac:dyDescent="0.4">
      <c r="M681" s="9"/>
      <c r="S681" s="8"/>
      <c r="U681" s="8"/>
      <c r="W681" s="8"/>
      <c r="Y681" s="8"/>
      <c r="AA681" s="8"/>
      <c r="AC681" s="8"/>
      <c r="AE681" s="8"/>
    </row>
    <row r="682" spans="13:31" x14ac:dyDescent="0.4">
      <c r="M682" s="9"/>
      <c r="S682" s="8"/>
      <c r="U682" s="8"/>
      <c r="W682" s="8"/>
      <c r="Y682" s="8"/>
      <c r="AA682" s="8"/>
      <c r="AC682" s="8"/>
      <c r="AE682" s="8"/>
    </row>
    <row r="683" spans="13:31" x14ac:dyDescent="0.4">
      <c r="M683" s="9"/>
      <c r="S683" s="8"/>
      <c r="U683" s="8"/>
      <c r="W683" s="8"/>
      <c r="Y683" s="8"/>
      <c r="AA683" s="8"/>
      <c r="AC683" s="8"/>
      <c r="AE683" s="8"/>
    </row>
    <row r="684" spans="13:31" x14ac:dyDescent="0.4">
      <c r="M684" s="9"/>
      <c r="S684" s="8"/>
      <c r="U684" s="8"/>
      <c r="W684" s="8"/>
      <c r="Y684" s="8"/>
      <c r="AA684" s="8"/>
      <c r="AC684" s="8"/>
      <c r="AE684" s="8"/>
    </row>
    <row r="685" spans="13:31" x14ac:dyDescent="0.4">
      <c r="M685" s="9"/>
      <c r="S685" s="8"/>
      <c r="U685" s="8"/>
      <c r="W685" s="8"/>
      <c r="Y685" s="8"/>
      <c r="AA685" s="8"/>
      <c r="AC685" s="8"/>
      <c r="AE685" s="8"/>
    </row>
    <row r="686" spans="13:31" x14ac:dyDescent="0.4">
      <c r="M686" s="9"/>
      <c r="S686" s="8"/>
      <c r="U686" s="8"/>
      <c r="W686" s="8"/>
      <c r="Y686" s="8"/>
      <c r="AA686" s="8"/>
      <c r="AC686" s="8"/>
      <c r="AE686" s="8"/>
    </row>
    <row r="687" spans="13:31" x14ac:dyDescent="0.4">
      <c r="M687" s="9"/>
      <c r="S687" s="8"/>
      <c r="U687" s="8"/>
      <c r="W687" s="8"/>
      <c r="Y687" s="8"/>
      <c r="AA687" s="8"/>
      <c r="AC687" s="8"/>
      <c r="AE687" s="8"/>
    </row>
    <row r="688" spans="13:31" x14ac:dyDescent="0.4">
      <c r="M688" s="9"/>
      <c r="S688" s="8"/>
      <c r="U688" s="8"/>
      <c r="W688" s="8"/>
      <c r="Y688" s="8"/>
      <c r="AA688" s="8"/>
      <c r="AC688" s="8"/>
      <c r="AE688" s="8"/>
    </row>
    <row r="689" spans="13:31" x14ac:dyDescent="0.4">
      <c r="M689" s="9"/>
      <c r="S689" s="8"/>
      <c r="U689" s="8"/>
      <c r="W689" s="8"/>
      <c r="Y689" s="8"/>
      <c r="AA689" s="8"/>
      <c r="AC689" s="8"/>
      <c r="AE689" s="8"/>
    </row>
    <row r="690" spans="13:31" x14ac:dyDescent="0.4">
      <c r="M690" s="9"/>
      <c r="S690" s="8"/>
      <c r="U690" s="8"/>
      <c r="W690" s="8"/>
      <c r="Y690" s="8"/>
      <c r="AA690" s="8"/>
      <c r="AC690" s="8"/>
      <c r="AE690" s="8"/>
    </row>
    <row r="691" spans="13:31" x14ac:dyDescent="0.4">
      <c r="M691" s="9"/>
      <c r="S691" s="8"/>
      <c r="U691" s="8"/>
      <c r="W691" s="8"/>
      <c r="Y691" s="8"/>
      <c r="AA691" s="8"/>
      <c r="AC691" s="8"/>
      <c r="AE691" s="8"/>
    </row>
    <row r="692" spans="13:31" x14ac:dyDescent="0.4">
      <c r="M692" s="9"/>
      <c r="S692" s="8"/>
      <c r="U692" s="8"/>
      <c r="W692" s="8"/>
      <c r="Y692" s="8"/>
      <c r="AA692" s="8"/>
      <c r="AC692" s="8"/>
      <c r="AE692" s="8"/>
    </row>
    <row r="693" spans="13:31" x14ac:dyDescent="0.4">
      <c r="M693" s="9"/>
      <c r="S693" s="8"/>
      <c r="U693" s="8"/>
      <c r="W693" s="8"/>
      <c r="Y693" s="8"/>
      <c r="AA693" s="8"/>
      <c r="AC693" s="8"/>
      <c r="AE693" s="8"/>
    </row>
    <row r="694" spans="13:31" x14ac:dyDescent="0.4">
      <c r="M694" s="9"/>
      <c r="S694" s="8"/>
      <c r="U694" s="8"/>
      <c r="W694" s="8"/>
      <c r="Y694" s="8"/>
      <c r="AA694" s="8"/>
      <c r="AC694" s="8"/>
      <c r="AE694" s="8"/>
    </row>
    <row r="695" spans="13:31" x14ac:dyDescent="0.4">
      <c r="M695" s="9"/>
      <c r="S695" s="8"/>
      <c r="U695" s="8"/>
      <c r="W695" s="8"/>
      <c r="Y695" s="8"/>
      <c r="AA695" s="8"/>
      <c r="AC695" s="8"/>
      <c r="AE695" s="8"/>
    </row>
    <row r="696" spans="13:31" x14ac:dyDescent="0.4">
      <c r="M696" s="9"/>
      <c r="S696" s="8"/>
      <c r="U696" s="8"/>
      <c r="W696" s="8"/>
      <c r="Y696" s="8"/>
      <c r="AA696" s="8"/>
      <c r="AC696" s="8"/>
      <c r="AE696" s="8"/>
    </row>
    <row r="697" spans="13:31" x14ac:dyDescent="0.4">
      <c r="M697" s="9"/>
      <c r="S697" s="8"/>
      <c r="U697" s="8"/>
      <c r="W697" s="8"/>
      <c r="Y697" s="8"/>
      <c r="AA697" s="8"/>
      <c r="AC697" s="8"/>
      <c r="AE697" s="8"/>
    </row>
    <row r="698" spans="13:31" x14ac:dyDescent="0.4">
      <c r="M698" s="9"/>
      <c r="S698" s="8"/>
      <c r="U698" s="8"/>
      <c r="W698" s="8"/>
      <c r="Y698" s="8"/>
      <c r="AA698" s="8"/>
      <c r="AC698" s="8"/>
      <c r="AE698" s="8"/>
    </row>
    <row r="699" spans="13:31" x14ac:dyDescent="0.4">
      <c r="M699" s="9"/>
      <c r="S699" s="8"/>
      <c r="U699" s="8"/>
      <c r="W699" s="8"/>
      <c r="Y699" s="8"/>
      <c r="AA699" s="8"/>
      <c r="AC699" s="8"/>
      <c r="AE699" s="8"/>
    </row>
    <row r="700" spans="13:31" x14ac:dyDescent="0.4">
      <c r="M700" s="9"/>
      <c r="S700" s="8"/>
      <c r="U700" s="8"/>
      <c r="W700" s="8"/>
      <c r="Y700" s="8"/>
      <c r="AA700" s="8"/>
      <c r="AC700" s="8"/>
      <c r="AE700" s="8"/>
    </row>
    <row r="701" spans="13:31" x14ac:dyDescent="0.4">
      <c r="M701" s="9"/>
      <c r="S701" s="8"/>
      <c r="U701" s="8"/>
      <c r="W701" s="8"/>
      <c r="Y701" s="8"/>
      <c r="AA701" s="8"/>
      <c r="AC701" s="8"/>
      <c r="AE701" s="8"/>
    </row>
    <row r="702" spans="13:31" x14ac:dyDescent="0.4">
      <c r="M702" s="9"/>
      <c r="S702" s="8"/>
      <c r="U702" s="8"/>
      <c r="W702" s="8"/>
      <c r="Y702" s="8"/>
      <c r="AA702" s="8"/>
      <c r="AC702" s="8"/>
      <c r="AE702" s="8"/>
    </row>
    <row r="703" spans="13:31" x14ac:dyDescent="0.4">
      <c r="M703" s="9"/>
      <c r="S703" s="8"/>
      <c r="U703" s="8"/>
      <c r="W703" s="8"/>
      <c r="Y703" s="8"/>
      <c r="AA703" s="8"/>
      <c r="AC703" s="8"/>
      <c r="AE703" s="8"/>
    </row>
    <row r="704" spans="13:31" x14ac:dyDescent="0.4">
      <c r="M704" s="9"/>
      <c r="S704" s="8"/>
      <c r="U704" s="8"/>
      <c r="W704" s="8"/>
      <c r="Y704" s="8"/>
      <c r="AA704" s="8"/>
      <c r="AC704" s="8"/>
      <c r="AE704" s="8"/>
    </row>
    <row r="705" spans="13:31" x14ac:dyDescent="0.4">
      <c r="M705" s="9"/>
      <c r="S705" s="8"/>
      <c r="U705" s="8"/>
      <c r="W705" s="8"/>
      <c r="Y705" s="8"/>
      <c r="AA705" s="8"/>
      <c r="AC705" s="8"/>
      <c r="AE705" s="8"/>
    </row>
    <row r="706" spans="13:31" x14ac:dyDescent="0.4">
      <c r="M706" s="9"/>
      <c r="S706" s="8"/>
      <c r="U706" s="8"/>
      <c r="W706" s="8"/>
      <c r="Y706" s="8"/>
      <c r="AA706" s="8"/>
      <c r="AC706" s="8"/>
      <c r="AE706" s="8"/>
    </row>
    <row r="707" spans="13:31" x14ac:dyDescent="0.4">
      <c r="M707" s="9"/>
      <c r="S707" s="8"/>
      <c r="U707" s="8"/>
      <c r="W707" s="8"/>
      <c r="Y707" s="8"/>
      <c r="AA707" s="8"/>
      <c r="AC707" s="8"/>
      <c r="AE707" s="8"/>
    </row>
    <row r="708" spans="13:31" x14ac:dyDescent="0.4">
      <c r="M708" s="9"/>
      <c r="S708" s="8"/>
      <c r="U708" s="8"/>
      <c r="W708" s="8"/>
      <c r="Y708" s="8"/>
      <c r="AA708" s="8"/>
      <c r="AC708" s="8"/>
      <c r="AE708" s="8"/>
    </row>
    <row r="709" spans="13:31" x14ac:dyDescent="0.4">
      <c r="M709" s="9"/>
      <c r="S709" s="8"/>
      <c r="U709" s="8"/>
      <c r="W709" s="8"/>
      <c r="Y709" s="8"/>
      <c r="AA709" s="8"/>
      <c r="AC709" s="8"/>
      <c r="AE709" s="8"/>
    </row>
    <row r="710" spans="13:31" x14ac:dyDescent="0.4">
      <c r="M710" s="9"/>
      <c r="S710" s="8"/>
      <c r="U710" s="8"/>
      <c r="W710" s="8"/>
      <c r="Y710" s="8"/>
      <c r="AA710" s="8"/>
      <c r="AC710" s="8"/>
      <c r="AE710" s="8"/>
    </row>
    <row r="711" spans="13:31" x14ac:dyDescent="0.4">
      <c r="M711" s="9"/>
      <c r="S711" s="8"/>
      <c r="U711" s="8"/>
      <c r="W711" s="8"/>
      <c r="Y711" s="8"/>
      <c r="AA711" s="8"/>
      <c r="AC711" s="8"/>
      <c r="AE711" s="8"/>
    </row>
    <row r="712" spans="13:31" x14ac:dyDescent="0.4">
      <c r="M712" s="9"/>
      <c r="S712" s="8"/>
      <c r="U712" s="8"/>
      <c r="W712" s="8"/>
      <c r="Y712" s="8"/>
      <c r="AA712" s="8"/>
      <c r="AC712" s="8"/>
      <c r="AE712" s="8"/>
    </row>
    <row r="713" spans="13:31" x14ac:dyDescent="0.4">
      <c r="M713" s="9"/>
      <c r="S713" s="8"/>
      <c r="U713" s="8"/>
      <c r="W713" s="8"/>
      <c r="Y713" s="8"/>
      <c r="AA713" s="8"/>
      <c r="AC713" s="8"/>
      <c r="AE713" s="8"/>
    </row>
    <row r="714" spans="13:31" x14ac:dyDescent="0.4">
      <c r="M714" s="9"/>
      <c r="S714" s="8"/>
      <c r="U714" s="8"/>
      <c r="W714" s="8"/>
      <c r="Y714" s="8"/>
      <c r="AA714" s="8"/>
      <c r="AC714" s="8"/>
      <c r="AE714" s="8"/>
    </row>
    <row r="715" spans="13:31" x14ac:dyDescent="0.4">
      <c r="M715" s="9"/>
      <c r="S715" s="8"/>
      <c r="U715" s="8"/>
      <c r="W715" s="8"/>
      <c r="Y715" s="8"/>
      <c r="AA715" s="8"/>
      <c r="AC715" s="8"/>
      <c r="AE715" s="8"/>
    </row>
    <row r="716" spans="13:31" x14ac:dyDescent="0.4">
      <c r="M716" s="9"/>
      <c r="S716" s="8"/>
      <c r="U716" s="8"/>
      <c r="W716" s="8"/>
      <c r="Y716" s="8"/>
      <c r="AA716" s="8"/>
      <c r="AC716" s="8"/>
      <c r="AE716" s="8"/>
    </row>
    <row r="717" spans="13:31" x14ac:dyDescent="0.4">
      <c r="M717" s="9"/>
      <c r="S717" s="8"/>
      <c r="U717" s="8"/>
      <c r="W717" s="8"/>
      <c r="Y717" s="8"/>
      <c r="AA717" s="8"/>
      <c r="AC717" s="8"/>
      <c r="AE717" s="8"/>
    </row>
    <row r="718" spans="13:31" x14ac:dyDescent="0.4">
      <c r="M718" s="9"/>
      <c r="S718" s="8"/>
      <c r="U718" s="8"/>
      <c r="W718" s="8"/>
      <c r="Y718" s="8"/>
      <c r="AA718" s="8"/>
      <c r="AC718" s="8"/>
      <c r="AE718" s="8"/>
    </row>
    <row r="719" spans="13:31" x14ac:dyDescent="0.4">
      <c r="M719" s="9"/>
      <c r="S719" s="8"/>
      <c r="U719" s="8"/>
      <c r="W719" s="8"/>
      <c r="Y719" s="8"/>
      <c r="AA719" s="8"/>
      <c r="AC719" s="8"/>
      <c r="AE719" s="8"/>
    </row>
    <row r="720" spans="13:31" x14ac:dyDescent="0.4">
      <c r="M720" s="9"/>
      <c r="S720" s="8"/>
      <c r="U720" s="8"/>
      <c r="W720" s="8"/>
      <c r="Y720" s="8"/>
      <c r="AA720" s="8"/>
      <c r="AC720" s="8"/>
      <c r="AE720" s="8"/>
    </row>
    <row r="721" spans="13:31" x14ac:dyDescent="0.4">
      <c r="M721" s="9"/>
      <c r="S721" s="8"/>
      <c r="U721" s="8"/>
      <c r="W721" s="8"/>
      <c r="Y721" s="8"/>
      <c r="AA721" s="8"/>
      <c r="AC721" s="8"/>
      <c r="AE721" s="8"/>
    </row>
    <row r="722" spans="13:31" x14ac:dyDescent="0.4">
      <c r="M722" s="9"/>
      <c r="S722" s="8"/>
      <c r="U722" s="8"/>
      <c r="W722" s="8"/>
      <c r="Y722" s="8"/>
      <c r="AA722" s="8"/>
      <c r="AC722" s="8"/>
      <c r="AE722" s="8"/>
    </row>
    <row r="723" spans="13:31" x14ac:dyDescent="0.4">
      <c r="M723" s="9"/>
      <c r="S723" s="8"/>
      <c r="U723" s="8"/>
      <c r="W723" s="8"/>
      <c r="Y723" s="8"/>
      <c r="AA723" s="8"/>
      <c r="AC723" s="8"/>
      <c r="AE723" s="8"/>
    </row>
    <row r="724" spans="13:31" x14ac:dyDescent="0.4">
      <c r="M724" s="9"/>
      <c r="S724" s="8"/>
      <c r="U724" s="8"/>
      <c r="W724" s="8"/>
      <c r="Y724" s="8"/>
      <c r="AA724" s="8"/>
      <c r="AC724" s="8"/>
      <c r="AE724" s="8"/>
    </row>
    <row r="725" spans="13:31" x14ac:dyDescent="0.4">
      <c r="M725" s="9"/>
      <c r="S725" s="8"/>
      <c r="U725" s="8"/>
      <c r="W725" s="8"/>
      <c r="Y725" s="8"/>
      <c r="AA725" s="8"/>
      <c r="AC725" s="8"/>
      <c r="AE725" s="8"/>
    </row>
    <row r="726" spans="13:31" x14ac:dyDescent="0.4">
      <c r="M726" s="9"/>
      <c r="S726" s="8"/>
      <c r="U726" s="8"/>
      <c r="W726" s="8"/>
      <c r="Y726" s="8"/>
      <c r="AA726" s="8"/>
      <c r="AC726" s="8"/>
      <c r="AE726" s="8"/>
    </row>
    <row r="727" spans="13:31" x14ac:dyDescent="0.4">
      <c r="M727" s="9"/>
      <c r="S727" s="8"/>
      <c r="U727" s="8"/>
      <c r="W727" s="8"/>
      <c r="Y727" s="8"/>
      <c r="AA727" s="8"/>
      <c r="AC727" s="8"/>
      <c r="AE727" s="8"/>
    </row>
    <row r="728" spans="13:31" x14ac:dyDescent="0.4">
      <c r="M728" s="9"/>
      <c r="S728" s="8"/>
      <c r="U728" s="8"/>
      <c r="W728" s="8"/>
      <c r="Y728" s="8"/>
      <c r="AA728" s="8"/>
      <c r="AC728" s="8"/>
      <c r="AE728" s="8"/>
    </row>
    <row r="729" spans="13:31" x14ac:dyDescent="0.4">
      <c r="M729" s="9"/>
      <c r="S729" s="8"/>
      <c r="U729" s="8"/>
      <c r="W729" s="8"/>
      <c r="Y729" s="8"/>
      <c r="AA729" s="8"/>
      <c r="AC729" s="8"/>
      <c r="AE729" s="8"/>
    </row>
    <row r="730" spans="13:31" x14ac:dyDescent="0.4">
      <c r="M730" s="9"/>
      <c r="S730" s="8"/>
      <c r="U730" s="8"/>
      <c r="W730" s="8"/>
      <c r="Y730" s="8"/>
      <c r="AA730" s="8"/>
      <c r="AC730" s="8"/>
      <c r="AE730" s="8"/>
    </row>
    <row r="731" spans="13:31" x14ac:dyDescent="0.4">
      <c r="M731" s="9"/>
      <c r="S731" s="8"/>
      <c r="U731" s="8"/>
      <c r="W731" s="8"/>
      <c r="Y731" s="8"/>
      <c r="AA731" s="8"/>
      <c r="AC731" s="8"/>
      <c r="AE731" s="8"/>
    </row>
    <row r="732" spans="13:31" x14ac:dyDescent="0.4">
      <c r="M732" s="9"/>
      <c r="S732" s="8"/>
      <c r="U732" s="8"/>
      <c r="W732" s="8"/>
      <c r="Y732" s="8"/>
      <c r="AA732" s="8"/>
      <c r="AC732" s="8"/>
      <c r="AE732" s="8"/>
    </row>
    <row r="733" spans="13:31" x14ac:dyDescent="0.4">
      <c r="M733" s="9"/>
      <c r="S733" s="8"/>
      <c r="U733" s="8"/>
      <c r="W733" s="8"/>
      <c r="Y733" s="8"/>
      <c r="AA733" s="8"/>
      <c r="AC733" s="8"/>
      <c r="AE733" s="8"/>
    </row>
    <row r="734" spans="13:31" x14ac:dyDescent="0.4">
      <c r="M734" s="9"/>
      <c r="S734" s="8"/>
      <c r="U734" s="8"/>
      <c r="W734" s="8"/>
      <c r="Y734" s="8"/>
      <c r="AA734" s="8"/>
      <c r="AC734" s="8"/>
      <c r="AE734" s="8"/>
    </row>
    <row r="735" spans="13:31" x14ac:dyDescent="0.4">
      <c r="M735" s="9"/>
      <c r="S735" s="8"/>
      <c r="U735" s="8"/>
      <c r="W735" s="8"/>
      <c r="Y735" s="8"/>
      <c r="AA735" s="8"/>
      <c r="AC735" s="8"/>
      <c r="AE735" s="8"/>
    </row>
    <row r="736" spans="13:31" x14ac:dyDescent="0.4">
      <c r="M736" s="9"/>
      <c r="S736" s="8"/>
      <c r="U736" s="8"/>
      <c r="W736" s="8"/>
      <c r="Y736" s="8"/>
      <c r="AA736" s="8"/>
      <c r="AC736" s="8"/>
      <c r="AE736" s="8"/>
    </row>
    <row r="737" spans="13:31" x14ac:dyDescent="0.4">
      <c r="M737" s="9"/>
      <c r="S737" s="8"/>
      <c r="U737" s="8"/>
      <c r="W737" s="8"/>
      <c r="Y737" s="8"/>
      <c r="AA737" s="8"/>
      <c r="AC737" s="8"/>
      <c r="AE737" s="8"/>
    </row>
    <row r="738" spans="13:31" x14ac:dyDescent="0.4">
      <c r="M738" s="9"/>
      <c r="S738" s="8"/>
      <c r="U738" s="8"/>
      <c r="W738" s="8"/>
      <c r="Y738" s="8"/>
      <c r="AA738" s="8"/>
      <c r="AC738" s="8"/>
      <c r="AE738" s="8"/>
    </row>
    <row r="739" spans="13:31" x14ac:dyDescent="0.4">
      <c r="M739" s="9"/>
      <c r="S739" s="8"/>
      <c r="U739" s="8"/>
      <c r="W739" s="8"/>
      <c r="Y739" s="8"/>
      <c r="AA739" s="8"/>
      <c r="AC739" s="8"/>
      <c r="AE739" s="8"/>
    </row>
    <row r="740" spans="13:31" x14ac:dyDescent="0.4">
      <c r="M740" s="9"/>
      <c r="S740" s="8"/>
      <c r="U740" s="8"/>
      <c r="W740" s="8"/>
      <c r="Y740" s="8"/>
      <c r="AA740" s="8"/>
      <c r="AC740" s="8"/>
      <c r="AE740" s="8"/>
    </row>
    <row r="741" spans="13:31" x14ac:dyDescent="0.4">
      <c r="M741" s="9"/>
      <c r="S741" s="8"/>
      <c r="U741" s="8"/>
      <c r="W741" s="8"/>
      <c r="Y741" s="8"/>
      <c r="AA741" s="8"/>
      <c r="AC741" s="8"/>
      <c r="AE741" s="8"/>
    </row>
    <row r="742" spans="13:31" x14ac:dyDescent="0.4">
      <c r="M742" s="9"/>
      <c r="S742" s="8"/>
      <c r="U742" s="8"/>
      <c r="W742" s="8"/>
      <c r="Y742" s="8"/>
      <c r="AA742" s="8"/>
      <c r="AC742" s="8"/>
      <c r="AE742" s="8"/>
    </row>
    <row r="743" spans="13:31" x14ac:dyDescent="0.4">
      <c r="M743" s="9"/>
      <c r="S743" s="8"/>
      <c r="U743" s="8"/>
      <c r="W743" s="8"/>
      <c r="Y743" s="8"/>
      <c r="AA743" s="8"/>
      <c r="AC743" s="8"/>
      <c r="AE743" s="8"/>
    </row>
    <row r="744" spans="13:31" x14ac:dyDescent="0.4">
      <c r="M744" s="9"/>
      <c r="S744" s="8"/>
      <c r="U744" s="8"/>
      <c r="W744" s="8"/>
      <c r="Y744" s="8"/>
      <c r="AA744" s="8"/>
      <c r="AC744" s="8"/>
      <c r="AE744" s="8"/>
    </row>
    <row r="745" spans="13:31" x14ac:dyDescent="0.4">
      <c r="M745" s="9"/>
      <c r="S745" s="8"/>
      <c r="U745" s="8"/>
      <c r="W745" s="8"/>
      <c r="Y745" s="8"/>
      <c r="AA745" s="8"/>
      <c r="AC745" s="8"/>
      <c r="AE745" s="8"/>
    </row>
    <row r="746" spans="13:31" x14ac:dyDescent="0.4">
      <c r="M746" s="9"/>
      <c r="S746" s="8"/>
      <c r="U746" s="8"/>
      <c r="W746" s="8"/>
      <c r="Y746" s="8"/>
      <c r="AA746" s="8"/>
      <c r="AC746" s="8"/>
      <c r="AE746" s="8"/>
    </row>
    <row r="747" spans="13:31" x14ac:dyDescent="0.4">
      <c r="M747" s="9"/>
      <c r="S747" s="8"/>
      <c r="U747" s="8"/>
      <c r="W747" s="8"/>
      <c r="Y747" s="8"/>
      <c r="AA747" s="8"/>
      <c r="AC747" s="8"/>
      <c r="AE747" s="8"/>
    </row>
    <row r="748" spans="13:31" x14ac:dyDescent="0.4">
      <c r="M748" s="9"/>
      <c r="S748" s="8"/>
      <c r="U748" s="8"/>
      <c r="W748" s="8"/>
      <c r="Y748" s="8"/>
      <c r="AA748" s="8"/>
      <c r="AC748" s="8"/>
      <c r="AE748" s="8"/>
    </row>
    <row r="749" spans="13:31" x14ac:dyDescent="0.4">
      <c r="M749" s="9"/>
      <c r="S749" s="8"/>
      <c r="U749" s="8"/>
      <c r="W749" s="8"/>
      <c r="Y749" s="8"/>
      <c r="AA749" s="8"/>
      <c r="AC749" s="8"/>
      <c r="AE749" s="8"/>
    </row>
    <row r="750" spans="13:31" x14ac:dyDescent="0.4">
      <c r="M750" s="9"/>
      <c r="S750" s="8"/>
      <c r="U750" s="8"/>
      <c r="W750" s="8"/>
      <c r="Y750" s="8"/>
      <c r="AA750" s="8"/>
      <c r="AC750" s="8"/>
      <c r="AE750" s="8"/>
    </row>
    <row r="751" spans="13:31" x14ac:dyDescent="0.4">
      <c r="M751" s="9"/>
      <c r="S751" s="8"/>
      <c r="U751" s="8"/>
      <c r="W751" s="8"/>
      <c r="Y751" s="8"/>
      <c r="AA751" s="8"/>
      <c r="AC751" s="8"/>
      <c r="AE751" s="8"/>
    </row>
    <row r="752" spans="13:31" x14ac:dyDescent="0.4">
      <c r="M752" s="9"/>
      <c r="S752" s="8"/>
      <c r="U752" s="8"/>
      <c r="W752" s="8"/>
      <c r="Y752" s="8"/>
      <c r="AA752" s="8"/>
      <c r="AC752" s="8"/>
      <c r="AE752" s="8"/>
    </row>
    <row r="753" spans="13:31" x14ac:dyDescent="0.4">
      <c r="M753" s="9"/>
      <c r="S753" s="8"/>
      <c r="U753" s="8"/>
      <c r="W753" s="8"/>
      <c r="Y753" s="8"/>
      <c r="AA753" s="8"/>
      <c r="AC753" s="8"/>
      <c r="AE753" s="8"/>
    </row>
    <row r="754" spans="13:31" x14ac:dyDescent="0.4">
      <c r="M754" s="9"/>
      <c r="S754" s="8"/>
      <c r="U754" s="8"/>
      <c r="W754" s="8"/>
      <c r="Y754" s="8"/>
      <c r="AA754" s="8"/>
      <c r="AC754" s="8"/>
      <c r="AE754" s="8"/>
    </row>
    <row r="755" spans="13:31" x14ac:dyDescent="0.4">
      <c r="M755" s="9"/>
      <c r="S755" s="8"/>
      <c r="U755" s="8"/>
      <c r="W755" s="8"/>
      <c r="Y755" s="8"/>
      <c r="AA755" s="8"/>
      <c r="AC755" s="8"/>
      <c r="AE755" s="8"/>
    </row>
    <row r="756" spans="13:31" x14ac:dyDescent="0.4">
      <c r="M756" s="9"/>
      <c r="S756" s="8"/>
      <c r="U756" s="8"/>
      <c r="W756" s="8"/>
      <c r="Y756" s="8"/>
      <c r="AA756" s="8"/>
      <c r="AC756" s="8"/>
      <c r="AE756" s="8"/>
    </row>
    <row r="757" spans="13:31" x14ac:dyDescent="0.4">
      <c r="M757" s="9"/>
      <c r="S757" s="8"/>
      <c r="U757" s="8"/>
      <c r="W757" s="8"/>
      <c r="Y757" s="8"/>
      <c r="AA757" s="8"/>
      <c r="AC757" s="8"/>
      <c r="AE757" s="8"/>
    </row>
    <row r="758" spans="13:31" x14ac:dyDescent="0.4">
      <c r="M758" s="9"/>
      <c r="S758" s="8"/>
      <c r="U758" s="8"/>
      <c r="W758" s="8"/>
      <c r="Y758" s="8"/>
      <c r="AA758" s="8"/>
      <c r="AC758" s="8"/>
      <c r="AE758" s="8"/>
    </row>
    <row r="759" spans="13:31" x14ac:dyDescent="0.4">
      <c r="M759" s="9"/>
      <c r="S759" s="8"/>
      <c r="U759" s="8"/>
      <c r="W759" s="8"/>
      <c r="Y759" s="8"/>
      <c r="AA759" s="8"/>
      <c r="AC759" s="8"/>
      <c r="AE759" s="8"/>
    </row>
    <row r="760" spans="13:31" x14ac:dyDescent="0.4">
      <c r="M760" s="9"/>
      <c r="S760" s="8"/>
      <c r="U760" s="8"/>
      <c r="W760" s="8"/>
      <c r="Y760" s="8"/>
      <c r="AA760" s="8"/>
      <c r="AC760" s="8"/>
      <c r="AE760" s="8"/>
    </row>
    <row r="761" spans="13:31" x14ac:dyDescent="0.4">
      <c r="M761" s="9"/>
      <c r="S761" s="8"/>
      <c r="U761" s="8"/>
      <c r="W761" s="8"/>
      <c r="Y761" s="8"/>
      <c r="AA761" s="8"/>
      <c r="AC761" s="8"/>
      <c r="AE761" s="8"/>
    </row>
    <row r="762" spans="13:31" x14ac:dyDescent="0.4">
      <c r="M762" s="9"/>
      <c r="S762" s="8"/>
      <c r="U762" s="8"/>
      <c r="W762" s="8"/>
      <c r="Y762" s="8"/>
      <c r="AA762" s="8"/>
      <c r="AC762" s="8"/>
      <c r="AE762" s="8"/>
    </row>
    <row r="763" spans="13:31" x14ac:dyDescent="0.4">
      <c r="M763" s="9"/>
      <c r="S763" s="8"/>
      <c r="U763" s="8"/>
      <c r="W763" s="8"/>
      <c r="Y763" s="8"/>
      <c r="AA763" s="8"/>
      <c r="AC763" s="8"/>
      <c r="AE763" s="8"/>
    </row>
    <row r="764" spans="13:31" x14ac:dyDescent="0.4">
      <c r="M764" s="9"/>
      <c r="S764" s="8"/>
      <c r="U764" s="8"/>
      <c r="W764" s="8"/>
      <c r="Y764" s="8"/>
      <c r="AA764" s="8"/>
      <c r="AC764" s="8"/>
      <c r="AE764" s="8"/>
    </row>
    <row r="765" spans="13:31" x14ac:dyDescent="0.4">
      <c r="M765" s="9"/>
      <c r="S765" s="8"/>
      <c r="U765" s="8"/>
      <c r="W765" s="8"/>
      <c r="Y765" s="8"/>
      <c r="AA765" s="8"/>
      <c r="AC765" s="8"/>
      <c r="AE765" s="8"/>
    </row>
    <row r="766" spans="13:31" x14ac:dyDescent="0.4">
      <c r="M766" s="9"/>
      <c r="S766" s="8"/>
      <c r="U766" s="8"/>
      <c r="W766" s="8"/>
      <c r="Y766" s="8"/>
      <c r="AA766" s="8"/>
      <c r="AC766" s="8"/>
      <c r="AE766" s="8"/>
    </row>
    <row r="767" spans="13:31" x14ac:dyDescent="0.4">
      <c r="M767" s="9"/>
      <c r="S767" s="8"/>
      <c r="U767" s="8"/>
      <c r="W767" s="8"/>
      <c r="Y767" s="8"/>
      <c r="AA767" s="8"/>
      <c r="AC767" s="8"/>
      <c r="AE767" s="8"/>
    </row>
    <row r="768" spans="13:31" x14ac:dyDescent="0.4">
      <c r="M768" s="9"/>
      <c r="S768" s="8"/>
      <c r="U768" s="8"/>
      <c r="W768" s="8"/>
      <c r="Y768" s="8"/>
      <c r="AA768" s="8"/>
      <c r="AC768" s="8"/>
      <c r="AE768" s="8"/>
    </row>
    <row r="769" spans="13:31" x14ac:dyDescent="0.4">
      <c r="M769" s="9"/>
      <c r="S769" s="8"/>
      <c r="U769" s="8"/>
      <c r="W769" s="8"/>
      <c r="Y769" s="8"/>
      <c r="AA769" s="8"/>
      <c r="AC769" s="8"/>
      <c r="AE769" s="8"/>
    </row>
    <row r="770" spans="13:31" x14ac:dyDescent="0.4">
      <c r="M770" s="9"/>
      <c r="S770" s="8"/>
      <c r="U770" s="8"/>
      <c r="W770" s="8"/>
      <c r="Y770" s="8"/>
      <c r="AA770" s="8"/>
      <c r="AC770" s="8"/>
      <c r="AE770" s="8"/>
    </row>
    <row r="771" spans="13:31" x14ac:dyDescent="0.4">
      <c r="M771" s="9"/>
      <c r="S771" s="8"/>
      <c r="U771" s="8"/>
      <c r="W771" s="8"/>
      <c r="Y771" s="8"/>
      <c r="AA771" s="8"/>
      <c r="AC771" s="8"/>
      <c r="AE771" s="8"/>
    </row>
    <row r="772" spans="13:31" x14ac:dyDescent="0.4">
      <c r="M772" s="9"/>
      <c r="S772" s="8"/>
      <c r="U772" s="8"/>
      <c r="W772" s="8"/>
      <c r="Y772" s="8"/>
      <c r="AA772" s="8"/>
      <c r="AC772" s="8"/>
      <c r="AE772" s="8"/>
    </row>
    <row r="773" spans="13:31" x14ac:dyDescent="0.4">
      <c r="M773" s="9"/>
      <c r="S773" s="8"/>
      <c r="U773" s="8"/>
      <c r="W773" s="8"/>
      <c r="Y773" s="8"/>
      <c r="AA773" s="8"/>
      <c r="AC773" s="8"/>
      <c r="AE773" s="8"/>
    </row>
    <row r="774" spans="13:31" x14ac:dyDescent="0.4">
      <c r="M774" s="9"/>
      <c r="S774" s="8"/>
      <c r="U774" s="8"/>
      <c r="W774" s="8"/>
      <c r="Y774" s="8"/>
      <c r="AA774" s="8"/>
      <c r="AC774" s="8"/>
      <c r="AE774" s="8"/>
    </row>
    <row r="775" spans="13:31" x14ac:dyDescent="0.4">
      <c r="M775" s="9"/>
      <c r="S775" s="8"/>
      <c r="U775" s="8"/>
      <c r="W775" s="8"/>
      <c r="Y775" s="8"/>
      <c r="AA775" s="8"/>
      <c r="AC775" s="8"/>
      <c r="AE775" s="8"/>
    </row>
    <row r="776" spans="13:31" x14ac:dyDescent="0.4">
      <c r="M776" s="9"/>
      <c r="S776" s="8"/>
      <c r="U776" s="8"/>
      <c r="W776" s="8"/>
      <c r="Y776" s="8"/>
      <c r="AA776" s="8"/>
      <c r="AC776" s="8"/>
      <c r="AE776" s="8"/>
    </row>
    <row r="777" spans="13:31" x14ac:dyDescent="0.4">
      <c r="M777" s="9"/>
      <c r="S777" s="8"/>
      <c r="U777" s="8"/>
      <c r="W777" s="8"/>
      <c r="Y777" s="8"/>
      <c r="AA777" s="8"/>
      <c r="AC777" s="8"/>
      <c r="AE777" s="8"/>
    </row>
    <row r="778" spans="13:31" x14ac:dyDescent="0.4">
      <c r="M778" s="9"/>
      <c r="S778" s="8"/>
      <c r="U778" s="8"/>
      <c r="W778" s="8"/>
      <c r="Y778" s="8"/>
      <c r="AA778" s="8"/>
      <c r="AC778" s="8"/>
      <c r="AE778" s="8"/>
    </row>
    <row r="779" spans="13:31" x14ac:dyDescent="0.4">
      <c r="M779" s="9"/>
      <c r="S779" s="8"/>
      <c r="U779" s="8"/>
      <c r="W779" s="8"/>
      <c r="Y779" s="8"/>
      <c r="AA779" s="8"/>
      <c r="AC779" s="8"/>
      <c r="AE779" s="8"/>
    </row>
    <row r="780" spans="13:31" x14ac:dyDescent="0.4">
      <c r="M780" s="9"/>
      <c r="S780" s="8"/>
      <c r="U780" s="8"/>
      <c r="W780" s="8"/>
      <c r="Y780" s="8"/>
      <c r="AA780" s="8"/>
      <c r="AC780" s="8"/>
      <c r="AE780" s="8"/>
    </row>
    <row r="781" spans="13:31" x14ac:dyDescent="0.4">
      <c r="M781" s="9"/>
      <c r="S781" s="8"/>
      <c r="U781" s="8"/>
      <c r="W781" s="8"/>
      <c r="Y781" s="8"/>
      <c r="AA781" s="8"/>
      <c r="AC781" s="8"/>
      <c r="AE781" s="8"/>
    </row>
    <row r="782" spans="13:31" x14ac:dyDescent="0.4">
      <c r="M782" s="9"/>
      <c r="S782" s="8"/>
      <c r="U782" s="8"/>
      <c r="W782" s="8"/>
      <c r="Y782" s="8"/>
      <c r="AA782" s="8"/>
      <c r="AC782" s="8"/>
      <c r="AE782" s="8"/>
    </row>
    <row r="783" spans="13:31" x14ac:dyDescent="0.4">
      <c r="M783" s="9"/>
      <c r="S783" s="8"/>
      <c r="U783" s="8"/>
      <c r="W783" s="8"/>
      <c r="Y783" s="8"/>
      <c r="AA783" s="8"/>
      <c r="AC783" s="8"/>
      <c r="AE783" s="8"/>
    </row>
    <row r="784" spans="13:31" x14ac:dyDescent="0.4">
      <c r="M784" s="9"/>
      <c r="S784" s="8"/>
      <c r="U784" s="8"/>
      <c r="W784" s="8"/>
      <c r="Y784" s="8"/>
      <c r="AA784" s="8"/>
      <c r="AC784" s="8"/>
      <c r="AE784" s="8"/>
    </row>
    <row r="785" spans="13:31" x14ac:dyDescent="0.4">
      <c r="M785" s="9"/>
      <c r="S785" s="8"/>
      <c r="U785" s="8"/>
      <c r="W785" s="8"/>
      <c r="Y785" s="8"/>
      <c r="AA785" s="8"/>
      <c r="AC785" s="8"/>
      <c r="AE785" s="8"/>
    </row>
    <row r="786" spans="13:31" x14ac:dyDescent="0.4">
      <c r="M786" s="9"/>
      <c r="S786" s="8"/>
      <c r="U786" s="8"/>
      <c r="W786" s="8"/>
      <c r="Y786" s="8"/>
      <c r="AA786" s="8"/>
      <c r="AC786" s="8"/>
      <c r="AE786" s="8"/>
    </row>
    <row r="787" spans="13:31" x14ac:dyDescent="0.4">
      <c r="M787" s="9"/>
      <c r="S787" s="8"/>
      <c r="U787" s="8"/>
      <c r="W787" s="8"/>
      <c r="Y787" s="8"/>
      <c r="AA787" s="8"/>
      <c r="AC787" s="8"/>
      <c r="AE787" s="8"/>
    </row>
    <row r="788" spans="13:31" x14ac:dyDescent="0.4">
      <c r="M788" s="9"/>
      <c r="S788" s="8"/>
      <c r="U788" s="8"/>
      <c r="W788" s="8"/>
      <c r="Y788" s="8"/>
      <c r="AA788" s="8"/>
      <c r="AC788" s="8"/>
      <c r="AE788" s="8"/>
    </row>
    <row r="789" spans="13:31" x14ac:dyDescent="0.4">
      <c r="M789" s="9"/>
      <c r="S789" s="8"/>
      <c r="U789" s="8"/>
      <c r="W789" s="8"/>
      <c r="Y789" s="8"/>
      <c r="AA789" s="8"/>
      <c r="AC789" s="8"/>
      <c r="AE789" s="8"/>
    </row>
    <row r="790" spans="13:31" x14ac:dyDescent="0.4">
      <c r="M790" s="9"/>
      <c r="S790" s="8"/>
      <c r="U790" s="8"/>
      <c r="W790" s="8"/>
      <c r="Y790" s="8"/>
      <c r="AA790" s="8"/>
      <c r="AC790" s="8"/>
      <c r="AE790" s="8"/>
    </row>
    <row r="791" spans="13:31" x14ac:dyDescent="0.4">
      <c r="M791" s="9"/>
      <c r="S791" s="8"/>
      <c r="U791" s="8"/>
      <c r="W791" s="8"/>
      <c r="Y791" s="8"/>
      <c r="AA791" s="8"/>
      <c r="AC791" s="8"/>
      <c r="AE791" s="8"/>
    </row>
    <row r="792" spans="13:31" x14ac:dyDescent="0.4">
      <c r="M792" s="9"/>
      <c r="S792" s="8"/>
      <c r="U792" s="8"/>
      <c r="W792" s="8"/>
      <c r="Y792" s="8"/>
      <c r="AA792" s="8"/>
      <c r="AC792" s="8"/>
      <c r="AE792" s="8"/>
    </row>
    <row r="793" spans="13:31" x14ac:dyDescent="0.4">
      <c r="M793" s="9"/>
      <c r="S793" s="8"/>
      <c r="U793" s="8"/>
      <c r="W793" s="8"/>
      <c r="Y793" s="8"/>
      <c r="AA793" s="8"/>
      <c r="AC793" s="8"/>
      <c r="AE793" s="8"/>
    </row>
    <row r="794" spans="13:31" x14ac:dyDescent="0.4">
      <c r="M794" s="9"/>
      <c r="S794" s="8"/>
      <c r="U794" s="8"/>
      <c r="W794" s="8"/>
      <c r="Y794" s="8"/>
      <c r="AA794" s="8"/>
      <c r="AC794" s="8"/>
      <c r="AE794" s="8"/>
    </row>
    <row r="795" spans="13:31" x14ac:dyDescent="0.4">
      <c r="M795" s="9"/>
      <c r="S795" s="8"/>
      <c r="U795" s="8"/>
      <c r="W795" s="8"/>
      <c r="Y795" s="8"/>
      <c r="AA795" s="8"/>
      <c r="AC795" s="8"/>
      <c r="AE795" s="8"/>
    </row>
    <row r="796" spans="13:31" x14ac:dyDescent="0.4">
      <c r="M796" s="9"/>
      <c r="S796" s="8"/>
      <c r="U796" s="8"/>
      <c r="W796" s="8"/>
      <c r="Y796" s="8"/>
      <c r="AA796" s="8"/>
      <c r="AC796" s="8"/>
      <c r="AE796" s="8"/>
    </row>
    <row r="797" spans="13:31" x14ac:dyDescent="0.4">
      <c r="M797" s="9"/>
      <c r="S797" s="8"/>
      <c r="U797" s="8"/>
      <c r="W797" s="8"/>
      <c r="Y797" s="8"/>
      <c r="AA797" s="8"/>
      <c r="AC797" s="8"/>
      <c r="AE797" s="8"/>
    </row>
    <row r="798" spans="13:31" x14ac:dyDescent="0.4">
      <c r="M798" s="9"/>
      <c r="S798" s="8"/>
      <c r="U798" s="8"/>
      <c r="W798" s="8"/>
      <c r="Y798" s="8"/>
      <c r="AA798" s="8"/>
      <c r="AC798" s="8"/>
      <c r="AE798" s="8"/>
    </row>
    <row r="799" spans="13:31" x14ac:dyDescent="0.4">
      <c r="M799" s="9"/>
      <c r="S799" s="8"/>
      <c r="U799" s="8"/>
      <c r="W799" s="8"/>
      <c r="Y799" s="8"/>
      <c r="AA799" s="8"/>
      <c r="AC799" s="8"/>
      <c r="AE799" s="8"/>
    </row>
    <row r="800" spans="13:31" x14ac:dyDescent="0.4">
      <c r="M800" s="9"/>
      <c r="S800" s="8"/>
      <c r="U800" s="8"/>
      <c r="W800" s="8"/>
      <c r="Y800" s="8"/>
      <c r="AA800" s="8"/>
      <c r="AC800" s="8"/>
      <c r="AE800" s="8"/>
    </row>
    <row r="801" spans="13:31" x14ac:dyDescent="0.4">
      <c r="M801" s="9"/>
      <c r="S801" s="8"/>
      <c r="U801" s="8"/>
      <c r="W801" s="8"/>
      <c r="Y801" s="8"/>
      <c r="AA801" s="8"/>
      <c r="AC801" s="8"/>
      <c r="AE801" s="8"/>
    </row>
    <row r="802" spans="13:31" x14ac:dyDescent="0.4">
      <c r="M802" s="9"/>
      <c r="S802" s="8"/>
      <c r="U802" s="8"/>
      <c r="W802" s="8"/>
      <c r="Y802" s="8"/>
      <c r="AA802" s="8"/>
      <c r="AC802" s="8"/>
      <c r="AE802" s="8"/>
    </row>
    <row r="803" spans="13:31" x14ac:dyDescent="0.4">
      <c r="M803" s="9"/>
      <c r="S803" s="8"/>
      <c r="U803" s="8"/>
      <c r="W803" s="8"/>
      <c r="Y803" s="8"/>
      <c r="AA803" s="8"/>
      <c r="AC803" s="8"/>
      <c r="AE803" s="8"/>
    </row>
    <row r="804" spans="13:31" x14ac:dyDescent="0.4">
      <c r="M804" s="9"/>
      <c r="S804" s="8"/>
      <c r="U804" s="8"/>
      <c r="W804" s="8"/>
      <c r="Y804" s="8"/>
      <c r="AA804" s="8"/>
      <c r="AC804" s="8"/>
      <c r="AE804" s="8"/>
    </row>
    <row r="805" spans="13:31" x14ac:dyDescent="0.4">
      <c r="M805" s="9"/>
      <c r="S805" s="8"/>
      <c r="U805" s="8"/>
      <c r="W805" s="8"/>
      <c r="Y805" s="8"/>
      <c r="AA805" s="8"/>
      <c r="AC805" s="8"/>
      <c r="AE805" s="8"/>
    </row>
    <row r="806" spans="13:31" x14ac:dyDescent="0.4">
      <c r="M806" s="9"/>
      <c r="S806" s="8"/>
      <c r="U806" s="8"/>
      <c r="W806" s="8"/>
      <c r="Y806" s="8"/>
      <c r="AA806" s="8"/>
      <c r="AC806" s="8"/>
      <c r="AE806" s="8"/>
    </row>
    <row r="807" spans="13:31" x14ac:dyDescent="0.4">
      <c r="M807" s="9"/>
      <c r="S807" s="8"/>
      <c r="U807" s="8"/>
      <c r="W807" s="8"/>
      <c r="Y807" s="8"/>
      <c r="AA807" s="8"/>
      <c r="AC807" s="8"/>
      <c r="AE807" s="8"/>
    </row>
    <row r="808" spans="13:31" x14ac:dyDescent="0.4">
      <c r="M808" s="9"/>
      <c r="S808" s="8"/>
      <c r="U808" s="8"/>
      <c r="W808" s="8"/>
      <c r="Y808" s="8"/>
      <c r="AA808" s="8"/>
      <c r="AC808" s="8"/>
      <c r="AE808" s="8"/>
    </row>
    <row r="809" spans="13:31" x14ac:dyDescent="0.4">
      <c r="M809" s="9"/>
      <c r="S809" s="8"/>
      <c r="U809" s="8"/>
      <c r="W809" s="8"/>
      <c r="Y809" s="8"/>
      <c r="AA809" s="8"/>
      <c r="AC809" s="8"/>
      <c r="AE809" s="8"/>
    </row>
    <row r="810" spans="13:31" x14ac:dyDescent="0.4">
      <c r="M810" s="9"/>
      <c r="S810" s="8"/>
      <c r="U810" s="8"/>
      <c r="W810" s="8"/>
      <c r="Y810" s="8"/>
      <c r="AA810" s="8"/>
      <c r="AC810" s="8"/>
      <c r="AE810" s="8"/>
    </row>
    <row r="811" spans="13:31" x14ac:dyDescent="0.4">
      <c r="M811" s="9"/>
      <c r="S811" s="8"/>
      <c r="U811" s="8"/>
      <c r="W811" s="8"/>
      <c r="Y811" s="8"/>
      <c r="AA811" s="8"/>
      <c r="AC811" s="8"/>
      <c r="AE811" s="8"/>
    </row>
    <row r="812" spans="13:31" x14ac:dyDescent="0.4">
      <c r="M812" s="9"/>
      <c r="S812" s="8"/>
      <c r="U812" s="8"/>
      <c r="W812" s="8"/>
      <c r="Y812" s="8"/>
      <c r="AA812" s="8"/>
      <c r="AC812" s="8"/>
      <c r="AE812" s="8"/>
    </row>
    <row r="813" spans="13:31" x14ac:dyDescent="0.4">
      <c r="M813" s="9"/>
      <c r="S813" s="8"/>
      <c r="U813" s="8"/>
      <c r="W813" s="8"/>
      <c r="Y813" s="8"/>
      <c r="AA813" s="8"/>
      <c r="AC813" s="8"/>
      <c r="AE813" s="8"/>
    </row>
    <row r="814" spans="13:31" x14ac:dyDescent="0.4">
      <c r="M814" s="9"/>
      <c r="S814" s="8"/>
      <c r="U814" s="8"/>
      <c r="W814" s="8"/>
      <c r="Y814" s="8"/>
      <c r="AA814" s="8"/>
      <c r="AC814" s="8"/>
      <c r="AE814" s="8"/>
    </row>
    <row r="815" spans="13:31" x14ac:dyDescent="0.4">
      <c r="M815" s="9"/>
      <c r="S815" s="8"/>
      <c r="U815" s="8"/>
      <c r="W815" s="8"/>
      <c r="Y815" s="8"/>
      <c r="AA815" s="8"/>
      <c r="AC815" s="8"/>
      <c r="AE815" s="8"/>
    </row>
    <row r="816" spans="13:31" x14ac:dyDescent="0.4">
      <c r="M816" s="9"/>
      <c r="AB816" s="17" t="str">
        <f t="shared" ref="AB816:AB847" si="29">IF(AA816="失点","失点","")</f>
        <v/>
      </c>
    </row>
    <row r="817" spans="13:28" x14ac:dyDescent="0.4">
      <c r="M817" s="9"/>
      <c r="AB817" s="17" t="str">
        <f t="shared" si="29"/>
        <v/>
      </c>
    </row>
    <row r="818" spans="13:28" x14ac:dyDescent="0.4">
      <c r="M818" s="9"/>
      <c r="AB818" s="17" t="str">
        <f t="shared" si="29"/>
        <v/>
      </c>
    </row>
    <row r="819" spans="13:28" x14ac:dyDescent="0.4">
      <c r="M819" s="9"/>
      <c r="AB819" s="17" t="str">
        <f t="shared" si="29"/>
        <v/>
      </c>
    </row>
    <row r="820" spans="13:28" x14ac:dyDescent="0.4">
      <c r="M820" s="9"/>
      <c r="AB820" s="17" t="str">
        <f t="shared" si="29"/>
        <v/>
      </c>
    </row>
    <row r="821" spans="13:28" x14ac:dyDescent="0.4">
      <c r="M821" s="9"/>
      <c r="AB821" s="17" t="str">
        <f t="shared" si="29"/>
        <v/>
      </c>
    </row>
    <row r="822" spans="13:28" x14ac:dyDescent="0.4">
      <c r="M822" s="9"/>
      <c r="AB822" s="17" t="str">
        <f t="shared" si="29"/>
        <v/>
      </c>
    </row>
    <row r="823" spans="13:28" x14ac:dyDescent="0.4">
      <c r="M823" s="9"/>
      <c r="AB823" s="17" t="str">
        <f t="shared" si="29"/>
        <v/>
      </c>
    </row>
    <row r="824" spans="13:28" x14ac:dyDescent="0.4">
      <c r="M824" s="9"/>
      <c r="AB824" s="17" t="str">
        <f t="shared" si="29"/>
        <v/>
      </c>
    </row>
    <row r="825" spans="13:28" x14ac:dyDescent="0.4">
      <c r="M825" s="9"/>
      <c r="AB825" s="17" t="str">
        <f t="shared" si="29"/>
        <v/>
      </c>
    </row>
    <row r="826" spans="13:28" x14ac:dyDescent="0.4">
      <c r="M826" s="9"/>
      <c r="AB826" s="17" t="str">
        <f t="shared" si="29"/>
        <v/>
      </c>
    </row>
    <row r="827" spans="13:28" x14ac:dyDescent="0.4">
      <c r="M827" s="9"/>
      <c r="AB827" s="17" t="str">
        <f t="shared" si="29"/>
        <v/>
      </c>
    </row>
    <row r="828" spans="13:28" x14ac:dyDescent="0.4">
      <c r="M828" s="9"/>
      <c r="AB828" s="17" t="str">
        <f t="shared" si="29"/>
        <v/>
      </c>
    </row>
    <row r="829" spans="13:28" x14ac:dyDescent="0.4">
      <c r="M829" s="9"/>
      <c r="AB829" s="17" t="str">
        <f t="shared" si="29"/>
        <v/>
      </c>
    </row>
    <row r="830" spans="13:28" x14ac:dyDescent="0.4">
      <c r="M830" s="9"/>
      <c r="AB830" s="17" t="str">
        <f t="shared" si="29"/>
        <v/>
      </c>
    </row>
    <row r="831" spans="13:28" x14ac:dyDescent="0.4">
      <c r="M831" s="9"/>
      <c r="AB831" s="17" t="str">
        <f t="shared" si="29"/>
        <v/>
      </c>
    </row>
    <row r="832" spans="13:28" x14ac:dyDescent="0.4">
      <c r="M832" s="9"/>
      <c r="AB832" s="17" t="str">
        <f t="shared" si="29"/>
        <v/>
      </c>
    </row>
    <row r="833" spans="13:28" x14ac:dyDescent="0.4">
      <c r="M833" s="9"/>
      <c r="AB833" s="17" t="str">
        <f t="shared" si="29"/>
        <v/>
      </c>
    </row>
    <row r="834" spans="13:28" x14ac:dyDescent="0.4">
      <c r="M834" s="9"/>
      <c r="AB834" s="17" t="str">
        <f t="shared" si="29"/>
        <v/>
      </c>
    </row>
    <row r="835" spans="13:28" x14ac:dyDescent="0.4">
      <c r="M835" s="9"/>
      <c r="AB835" s="17" t="str">
        <f t="shared" si="29"/>
        <v/>
      </c>
    </row>
    <row r="836" spans="13:28" x14ac:dyDescent="0.4">
      <c r="M836" s="9"/>
      <c r="AB836" s="17" t="str">
        <f t="shared" si="29"/>
        <v/>
      </c>
    </row>
    <row r="837" spans="13:28" x14ac:dyDescent="0.4">
      <c r="M837" s="9"/>
      <c r="AB837" s="17" t="str">
        <f t="shared" si="29"/>
        <v/>
      </c>
    </row>
    <row r="838" spans="13:28" x14ac:dyDescent="0.4">
      <c r="M838" s="9"/>
      <c r="AB838" s="17" t="str">
        <f t="shared" si="29"/>
        <v/>
      </c>
    </row>
    <row r="839" spans="13:28" x14ac:dyDescent="0.4">
      <c r="M839" s="9"/>
      <c r="AB839" s="17" t="str">
        <f t="shared" si="29"/>
        <v/>
      </c>
    </row>
    <row r="840" spans="13:28" x14ac:dyDescent="0.4">
      <c r="M840" s="9"/>
      <c r="AB840" s="17" t="str">
        <f t="shared" si="29"/>
        <v/>
      </c>
    </row>
    <row r="841" spans="13:28" x14ac:dyDescent="0.4">
      <c r="M841" s="9"/>
      <c r="AB841" s="17" t="str">
        <f t="shared" si="29"/>
        <v/>
      </c>
    </row>
    <row r="842" spans="13:28" x14ac:dyDescent="0.4">
      <c r="M842" s="9"/>
      <c r="AB842" s="17" t="str">
        <f t="shared" si="29"/>
        <v/>
      </c>
    </row>
    <row r="843" spans="13:28" x14ac:dyDescent="0.4">
      <c r="M843" s="9"/>
      <c r="AB843" s="17" t="str">
        <f t="shared" si="29"/>
        <v/>
      </c>
    </row>
    <row r="844" spans="13:28" x14ac:dyDescent="0.4">
      <c r="M844" s="9"/>
      <c r="AB844" s="17" t="str">
        <f t="shared" si="29"/>
        <v/>
      </c>
    </row>
    <row r="845" spans="13:28" x14ac:dyDescent="0.4">
      <c r="M845" s="9"/>
      <c r="AB845" s="17" t="str">
        <f t="shared" si="29"/>
        <v/>
      </c>
    </row>
    <row r="846" spans="13:28" x14ac:dyDescent="0.4">
      <c r="M846" s="9"/>
      <c r="AB846" s="17" t="str">
        <f t="shared" si="29"/>
        <v/>
      </c>
    </row>
    <row r="847" spans="13:28" x14ac:dyDescent="0.4">
      <c r="M847" s="9"/>
      <c r="AB847" s="17" t="str">
        <f t="shared" si="29"/>
        <v/>
      </c>
    </row>
    <row r="848" spans="13:28" x14ac:dyDescent="0.4">
      <c r="M848" s="9"/>
      <c r="AB848" s="17" t="str">
        <f t="shared" ref="AB848:AB879" si="30">IF(AA848="失点","失点","")</f>
        <v/>
      </c>
    </row>
    <row r="849" spans="13:28" x14ac:dyDescent="0.4">
      <c r="M849" s="9"/>
      <c r="AB849" s="17" t="str">
        <f t="shared" si="30"/>
        <v/>
      </c>
    </row>
    <row r="850" spans="13:28" x14ac:dyDescent="0.4">
      <c r="M850" s="9"/>
      <c r="AB850" s="17" t="str">
        <f t="shared" si="30"/>
        <v/>
      </c>
    </row>
    <row r="851" spans="13:28" x14ac:dyDescent="0.4">
      <c r="M851" s="9"/>
      <c r="AB851" s="17" t="str">
        <f t="shared" si="30"/>
        <v/>
      </c>
    </row>
    <row r="852" spans="13:28" x14ac:dyDescent="0.4">
      <c r="M852" s="9"/>
      <c r="AB852" s="17" t="str">
        <f t="shared" si="30"/>
        <v/>
      </c>
    </row>
    <row r="853" spans="13:28" x14ac:dyDescent="0.4">
      <c r="M853" s="9"/>
      <c r="AB853" s="17" t="str">
        <f t="shared" si="30"/>
        <v/>
      </c>
    </row>
    <row r="854" spans="13:28" x14ac:dyDescent="0.4">
      <c r="M854" s="9"/>
      <c r="AB854" s="17" t="str">
        <f t="shared" si="30"/>
        <v/>
      </c>
    </row>
    <row r="855" spans="13:28" x14ac:dyDescent="0.4">
      <c r="M855" s="9"/>
      <c r="AB855" s="17" t="str">
        <f t="shared" si="30"/>
        <v/>
      </c>
    </row>
    <row r="856" spans="13:28" x14ac:dyDescent="0.4">
      <c r="M856" s="9"/>
      <c r="AB856" s="17" t="str">
        <f t="shared" si="30"/>
        <v/>
      </c>
    </row>
    <row r="857" spans="13:28" x14ac:dyDescent="0.4">
      <c r="M857" s="9"/>
      <c r="AB857" s="17" t="str">
        <f t="shared" si="30"/>
        <v/>
      </c>
    </row>
    <row r="858" spans="13:28" x14ac:dyDescent="0.4">
      <c r="M858" s="9"/>
      <c r="AB858" s="17" t="str">
        <f t="shared" si="30"/>
        <v/>
      </c>
    </row>
    <row r="859" spans="13:28" x14ac:dyDescent="0.4">
      <c r="M859" s="9"/>
      <c r="AB859" s="17" t="str">
        <f t="shared" si="30"/>
        <v/>
      </c>
    </row>
    <row r="860" spans="13:28" x14ac:dyDescent="0.4">
      <c r="M860" s="9"/>
      <c r="AB860" s="17" t="str">
        <f t="shared" si="30"/>
        <v/>
      </c>
    </row>
    <row r="861" spans="13:28" x14ac:dyDescent="0.4">
      <c r="M861" s="9"/>
      <c r="AB861" s="17" t="str">
        <f t="shared" si="30"/>
        <v/>
      </c>
    </row>
    <row r="862" spans="13:28" x14ac:dyDescent="0.4">
      <c r="M862" s="9"/>
      <c r="AB862" s="17" t="str">
        <f t="shared" si="30"/>
        <v/>
      </c>
    </row>
    <row r="863" spans="13:28" x14ac:dyDescent="0.4">
      <c r="M863" s="9"/>
      <c r="AB863" s="17" t="str">
        <f t="shared" si="30"/>
        <v/>
      </c>
    </row>
    <row r="864" spans="13:28" x14ac:dyDescent="0.4">
      <c r="M864" s="9"/>
      <c r="AB864" s="17" t="str">
        <f t="shared" si="30"/>
        <v/>
      </c>
    </row>
    <row r="865" spans="13:28" x14ac:dyDescent="0.4">
      <c r="M865" s="9"/>
      <c r="AB865" s="17" t="str">
        <f t="shared" si="30"/>
        <v/>
      </c>
    </row>
    <row r="866" spans="13:28" x14ac:dyDescent="0.4">
      <c r="M866" s="9"/>
      <c r="AB866" s="17" t="str">
        <f t="shared" si="30"/>
        <v/>
      </c>
    </row>
    <row r="867" spans="13:28" x14ac:dyDescent="0.4">
      <c r="M867" s="9"/>
      <c r="AB867" s="17" t="str">
        <f t="shared" si="30"/>
        <v/>
      </c>
    </row>
    <row r="868" spans="13:28" x14ac:dyDescent="0.4">
      <c r="M868" s="9"/>
      <c r="AB868" s="17" t="str">
        <f t="shared" si="30"/>
        <v/>
      </c>
    </row>
    <row r="869" spans="13:28" x14ac:dyDescent="0.4">
      <c r="M869" s="9"/>
      <c r="AB869" s="17" t="str">
        <f t="shared" si="30"/>
        <v/>
      </c>
    </row>
    <row r="870" spans="13:28" x14ac:dyDescent="0.4">
      <c r="M870" s="9"/>
      <c r="AB870" s="17" t="str">
        <f t="shared" si="30"/>
        <v/>
      </c>
    </row>
    <row r="871" spans="13:28" x14ac:dyDescent="0.4">
      <c r="M871" s="9"/>
      <c r="AB871" s="17" t="str">
        <f t="shared" si="30"/>
        <v/>
      </c>
    </row>
    <row r="872" spans="13:28" x14ac:dyDescent="0.4">
      <c r="M872" s="9"/>
      <c r="AB872" s="17" t="str">
        <f t="shared" si="30"/>
        <v/>
      </c>
    </row>
    <row r="873" spans="13:28" x14ac:dyDescent="0.4">
      <c r="M873" s="9"/>
      <c r="AB873" s="17" t="str">
        <f t="shared" si="30"/>
        <v/>
      </c>
    </row>
    <row r="874" spans="13:28" x14ac:dyDescent="0.4">
      <c r="M874" s="9"/>
      <c r="AB874" s="17" t="str">
        <f t="shared" si="30"/>
        <v/>
      </c>
    </row>
    <row r="875" spans="13:28" x14ac:dyDescent="0.4">
      <c r="M875" s="9"/>
      <c r="AB875" s="17" t="str">
        <f t="shared" si="30"/>
        <v/>
      </c>
    </row>
    <row r="876" spans="13:28" x14ac:dyDescent="0.4">
      <c r="M876" s="9"/>
      <c r="AB876" s="17" t="str">
        <f t="shared" si="30"/>
        <v/>
      </c>
    </row>
    <row r="877" spans="13:28" x14ac:dyDescent="0.4">
      <c r="M877" s="9"/>
      <c r="AB877" s="17" t="str">
        <f t="shared" si="30"/>
        <v/>
      </c>
    </row>
    <row r="878" spans="13:28" x14ac:dyDescent="0.4">
      <c r="M878" s="9"/>
      <c r="AB878" s="17" t="str">
        <f t="shared" si="30"/>
        <v/>
      </c>
    </row>
    <row r="879" spans="13:28" x14ac:dyDescent="0.4">
      <c r="M879" s="9"/>
      <c r="AB879" s="17" t="str">
        <f t="shared" si="30"/>
        <v/>
      </c>
    </row>
    <row r="880" spans="13:28" x14ac:dyDescent="0.4">
      <c r="M880" s="9"/>
      <c r="AB880" s="17" t="str">
        <f t="shared" ref="AB880:AB897" si="31">IF(AA880="失点","失点","")</f>
        <v/>
      </c>
    </row>
    <row r="881" spans="13:28" x14ac:dyDescent="0.4">
      <c r="M881" s="9"/>
      <c r="AB881" s="17" t="str">
        <f t="shared" si="31"/>
        <v/>
      </c>
    </row>
    <row r="882" spans="13:28" x14ac:dyDescent="0.4">
      <c r="M882" s="9"/>
      <c r="AB882" s="17" t="str">
        <f t="shared" si="31"/>
        <v/>
      </c>
    </row>
    <row r="883" spans="13:28" x14ac:dyDescent="0.4">
      <c r="M883" s="9"/>
      <c r="AB883" s="17" t="str">
        <f t="shared" si="31"/>
        <v/>
      </c>
    </row>
    <row r="884" spans="13:28" x14ac:dyDescent="0.4">
      <c r="M884" s="9"/>
      <c r="AB884" s="17" t="str">
        <f t="shared" si="31"/>
        <v/>
      </c>
    </row>
    <row r="885" spans="13:28" x14ac:dyDescent="0.4">
      <c r="M885" s="9"/>
      <c r="AB885" s="17" t="str">
        <f t="shared" si="31"/>
        <v/>
      </c>
    </row>
    <row r="886" spans="13:28" x14ac:dyDescent="0.4">
      <c r="M886" s="9"/>
      <c r="AB886" s="17" t="str">
        <f t="shared" si="31"/>
        <v/>
      </c>
    </row>
    <row r="887" spans="13:28" x14ac:dyDescent="0.4">
      <c r="M887" s="9"/>
      <c r="AB887" s="17" t="str">
        <f t="shared" si="31"/>
        <v/>
      </c>
    </row>
    <row r="888" spans="13:28" x14ac:dyDescent="0.4">
      <c r="M888" s="9"/>
      <c r="AB888" s="17" t="str">
        <f t="shared" si="31"/>
        <v/>
      </c>
    </row>
    <row r="889" spans="13:28" x14ac:dyDescent="0.4">
      <c r="M889" s="9"/>
      <c r="AB889" s="17" t="str">
        <f t="shared" si="31"/>
        <v/>
      </c>
    </row>
    <row r="890" spans="13:28" x14ac:dyDescent="0.4">
      <c r="M890" s="9"/>
      <c r="AB890" s="17" t="str">
        <f t="shared" si="31"/>
        <v/>
      </c>
    </row>
    <row r="891" spans="13:28" x14ac:dyDescent="0.4">
      <c r="M891" s="9"/>
      <c r="AB891" s="17" t="str">
        <f t="shared" si="31"/>
        <v/>
      </c>
    </row>
    <row r="892" spans="13:28" x14ac:dyDescent="0.4">
      <c r="M892" s="9"/>
      <c r="AB892" s="17" t="str">
        <f t="shared" si="31"/>
        <v/>
      </c>
    </row>
    <row r="893" spans="13:28" x14ac:dyDescent="0.4">
      <c r="M893" s="9"/>
      <c r="AB893" s="17" t="str">
        <f t="shared" si="31"/>
        <v/>
      </c>
    </row>
    <row r="894" spans="13:28" x14ac:dyDescent="0.4">
      <c r="M894" s="9"/>
      <c r="AB894" s="17" t="str">
        <f t="shared" si="31"/>
        <v/>
      </c>
    </row>
    <row r="895" spans="13:28" x14ac:dyDescent="0.4">
      <c r="M895" s="9"/>
      <c r="AB895" s="17" t="str">
        <f t="shared" si="31"/>
        <v/>
      </c>
    </row>
    <row r="896" spans="13:28" x14ac:dyDescent="0.4">
      <c r="M896" s="9"/>
      <c r="AB896" s="17" t="str">
        <f t="shared" si="31"/>
        <v/>
      </c>
    </row>
    <row r="897" spans="13:28" x14ac:dyDescent="0.4">
      <c r="M897" s="9"/>
      <c r="AB897" s="17" t="str">
        <f t="shared" si="31"/>
        <v/>
      </c>
    </row>
    <row r="898" spans="13:28" x14ac:dyDescent="0.4">
      <c r="M898" s="9"/>
    </row>
    <row r="899" spans="13:28" x14ac:dyDescent="0.4">
      <c r="M899" s="9"/>
    </row>
    <row r="900" spans="13:28" x14ac:dyDescent="0.4">
      <c r="M900" s="9"/>
    </row>
    <row r="901" spans="13:28" x14ac:dyDescent="0.4">
      <c r="M901" s="9"/>
    </row>
    <row r="902" spans="13:28" x14ac:dyDescent="0.4">
      <c r="M902" s="9"/>
    </row>
    <row r="903" spans="13:28" x14ac:dyDescent="0.4">
      <c r="M903" s="9"/>
    </row>
    <row r="904" spans="13:28" x14ac:dyDescent="0.4">
      <c r="M904" s="9"/>
    </row>
    <row r="905" spans="13:28" x14ac:dyDescent="0.4">
      <c r="M905" s="9"/>
    </row>
    <row r="906" spans="13:28" x14ac:dyDescent="0.4">
      <c r="M906" s="9"/>
    </row>
    <row r="907" spans="13:28" x14ac:dyDescent="0.4">
      <c r="M907" s="9"/>
    </row>
    <row r="908" spans="13:28" x14ac:dyDescent="0.4">
      <c r="M908" s="9"/>
    </row>
    <row r="909" spans="13:28" x14ac:dyDescent="0.4">
      <c r="M909" s="9"/>
    </row>
    <row r="910" spans="13:28" x14ac:dyDescent="0.4">
      <c r="M910" s="9"/>
    </row>
    <row r="911" spans="13:28" x14ac:dyDescent="0.4">
      <c r="M911" s="9"/>
    </row>
    <row r="912" spans="13:28" x14ac:dyDescent="0.4">
      <c r="M912" s="9"/>
    </row>
    <row r="913" spans="13:13" x14ac:dyDescent="0.4">
      <c r="M913" s="9"/>
    </row>
    <row r="914" spans="13:13" x14ac:dyDescent="0.4">
      <c r="M914" s="9"/>
    </row>
    <row r="915" spans="13:13" x14ac:dyDescent="0.4">
      <c r="M915" s="9"/>
    </row>
    <row r="916" spans="13:13" x14ac:dyDescent="0.4">
      <c r="M916" s="9"/>
    </row>
    <row r="917" spans="13:13" x14ac:dyDescent="0.4">
      <c r="M917" s="9"/>
    </row>
    <row r="918" spans="13:13" x14ac:dyDescent="0.4">
      <c r="M918" s="9"/>
    </row>
    <row r="919" spans="13:13" x14ac:dyDescent="0.4">
      <c r="M919" s="9"/>
    </row>
    <row r="920" spans="13:13" x14ac:dyDescent="0.4">
      <c r="M920" s="9"/>
    </row>
    <row r="921" spans="13:13" x14ac:dyDescent="0.4">
      <c r="M921" s="9"/>
    </row>
    <row r="922" spans="13:13" x14ac:dyDescent="0.4">
      <c r="M922" s="9"/>
    </row>
    <row r="923" spans="13:13" x14ac:dyDescent="0.4">
      <c r="M923" s="9"/>
    </row>
    <row r="924" spans="13:13" x14ac:dyDescent="0.4">
      <c r="M924" s="9"/>
    </row>
    <row r="925" spans="13:13" x14ac:dyDescent="0.4">
      <c r="M925" s="9"/>
    </row>
    <row r="926" spans="13:13" x14ac:dyDescent="0.4">
      <c r="M926" s="9"/>
    </row>
    <row r="927" spans="13:13" x14ac:dyDescent="0.4">
      <c r="M927" s="9"/>
    </row>
    <row r="928" spans="13:13" x14ac:dyDescent="0.4">
      <c r="M928" s="9"/>
    </row>
    <row r="929" spans="13:13" x14ac:dyDescent="0.4">
      <c r="M929" s="9"/>
    </row>
    <row r="930" spans="13:13" x14ac:dyDescent="0.4">
      <c r="M930" s="9"/>
    </row>
    <row r="931" spans="13:13" x14ac:dyDescent="0.4">
      <c r="M931" s="9"/>
    </row>
    <row r="932" spans="13:13" x14ac:dyDescent="0.4">
      <c r="M932" s="9"/>
    </row>
    <row r="933" spans="13:13" x14ac:dyDescent="0.4">
      <c r="M933" s="9"/>
    </row>
    <row r="934" spans="13:13" x14ac:dyDescent="0.4">
      <c r="M934" s="9"/>
    </row>
    <row r="935" spans="13:13" x14ac:dyDescent="0.4">
      <c r="M935" s="9"/>
    </row>
    <row r="936" spans="13:13" x14ac:dyDescent="0.4">
      <c r="M936" s="9"/>
    </row>
    <row r="937" spans="13:13" x14ac:dyDescent="0.4">
      <c r="M937" s="9"/>
    </row>
    <row r="938" spans="13:13" x14ac:dyDescent="0.4">
      <c r="M938" s="9"/>
    </row>
    <row r="939" spans="13:13" x14ac:dyDescent="0.4">
      <c r="M939" s="9"/>
    </row>
    <row r="940" spans="13:13" x14ac:dyDescent="0.4">
      <c r="M940" s="9"/>
    </row>
    <row r="941" spans="13:13" x14ac:dyDescent="0.4">
      <c r="M941" s="9"/>
    </row>
    <row r="942" spans="13:13" x14ac:dyDescent="0.4">
      <c r="M942" s="9"/>
    </row>
    <row r="943" spans="13:13" x14ac:dyDescent="0.4">
      <c r="M943" s="9"/>
    </row>
    <row r="944" spans="13:13" x14ac:dyDescent="0.4">
      <c r="M944" s="9"/>
    </row>
    <row r="945" spans="13:13" x14ac:dyDescent="0.4">
      <c r="M945" s="9"/>
    </row>
    <row r="946" spans="13:13" x14ac:dyDescent="0.4">
      <c r="M946" s="9"/>
    </row>
    <row r="947" spans="13:13" x14ac:dyDescent="0.4">
      <c r="M947" s="9"/>
    </row>
    <row r="948" spans="13:13" x14ac:dyDescent="0.4">
      <c r="M948" s="9"/>
    </row>
    <row r="949" spans="13:13" x14ac:dyDescent="0.4">
      <c r="M949" s="9"/>
    </row>
    <row r="950" spans="13:13" x14ac:dyDescent="0.4">
      <c r="M950" s="9"/>
    </row>
    <row r="951" spans="13:13" x14ac:dyDescent="0.4">
      <c r="M951" s="9"/>
    </row>
    <row r="952" spans="13:13" x14ac:dyDescent="0.4">
      <c r="M952" s="9"/>
    </row>
    <row r="953" spans="13:13" x14ac:dyDescent="0.4">
      <c r="M953" s="9"/>
    </row>
    <row r="954" spans="13:13" x14ac:dyDescent="0.4">
      <c r="M954" s="9"/>
    </row>
    <row r="955" spans="13:13" x14ac:dyDescent="0.4">
      <c r="M955" s="9"/>
    </row>
    <row r="956" spans="13:13" x14ac:dyDescent="0.4">
      <c r="M956" s="9"/>
    </row>
    <row r="957" spans="13:13" x14ac:dyDescent="0.4">
      <c r="M957" s="9"/>
    </row>
    <row r="958" spans="13:13" x14ac:dyDescent="0.4">
      <c r="M958" s="9"/>
    </row>
    <row r="959" spans="13:13" x14ac:dyDescent="0.4">
      <c r="M959" s="9"/>
    </row>
    <row r="960" spans="13:13" x14ac:dyDescent="0.4">
      <c r="M960" s="9"/>
    </row>
    <row r="961" spans="13:13" x14ac:dyDescent="0.4">
      <c r="M961" s="9"/>
    </row>
    <row r="962" spans="13:13" x14ac:dyDescent="0.4">
      <c r="M962" s="9"/>
    </row>
    <row r="963" spans="13:13" x14ac:dyDescent="0.4">
      <c r="M963" s="9"/>
    </row>
    <row r="964" spans="13:13" x14ac:dyDescent="0.4">
      <c r="M964" s="9"/>
    </row>
    <row r="965" spans="13:13" x14ac:dyDescent="0.4">
      <c r="M965" s="9"/>
    </row>
    <row r="966" spans="13:13" x14ac:dyDescent="0.4">
      <c r="M966" s="9"/>
    </row>
    <row r="967" spans="13:13" x14ac:dyDescent="0.4">
      <c r="M967" s="9"/>
    </row>
    <row r="968" spans="13:13" x14ac:dyDescent="0.4">
      <c r="M968" s="9"/>
    </row>
    <row r="969" spans="13:13" x14ac:dyDescent="0.4">
      <c r="M969" s="9"/>
    </row>
    <row r="970" spans="13:13" x14ac:dyDescent="0.4">
      <c r="M970" s="9"/>
    </row>
    <row r="971" spans="13:13" x14ac:dyDescent="0.4">
      <c r="M971" s="9"/>
    </row>
    <row r="972" spans="13:13" x14ac:dyDescent="0.4">
      <c r="M972" s="9"/>
    </row>
    <row r="973" spans="13:13" x14ac:dyDescent="0.4">
      <c r="M973" s="9"/>
    </row>
    <row r="974" spans="13:13" x14ac:dyDescent="0.4">
      <c r="M974" s="9"/>
    </row>
    <row r="975" spans="13:13" x14ac:dyDescent="0.4">
      <c r="M975" s="9"/>
    </row>
    <row r="976" spans="13:13" x14ac:dyDescent="0.4">
      <c r="M976" s="9"/>
    </row>
    <row r="977" spans="13:13" x14ac:dyDescent="0.4">
      <c r="M977" s="9"/>
    </row>
    <row r="978" spans="13:13" x14ac:dyDescent="0.4">
      <c r="M978" s="9"/>
    </row>
    <row r="979" spans="13:13" x14ac:dyDescent="0.4">
      <c r="M979" s="9"/>
    </row>
    <row r="980" spans="13:13" x14ac:dyDescent="0.4">
      <c r="M980" s="9"/>
    </row>
    <row r="981" spans="13:13" x14ac:dyDescent="0.4">
      <c r="M981" s="9"/>
    </row>
    <row r="982" spans="13:13" x14ac:dyDescent="0.4">
      <c r="M982" s="9"/>
    </row>
    <row r="983" spans="13:13" x14ac:dyDescent="0.4">
      <c r="M983" s="9"/>
    </row>
    <row r="984" spans="13:13" x14ac:dyDescent="0.4">
      <c r="M984" s="9"/>
    </row>
    <row r="985" spans="13:13" x14ac:dyDescent="0.4">
      <c r="M985" s="9"/>
    </row>
    <row r="986" spans="13:13" x14ac:dyDescent="0.4">
      <c r="M986" s="9"/>
    </row>
    <row r="987" spans="13:13" x14ac:dyDescent="0.4">
      <c r="M987" s="9"/>
    </row>
    <row r="988" spans="13:13" x14ac:dyDescent="0.4">
      <c r="M988" s="9"/>
    </row>
    <row r="989" spans="13:13" x14ac:dyDescent="0.4">
      <c r="M989" s="9"/>
    </row>
    <row r="990" spans="13:13" x14ac:dyDescent="0.4">
      <c r="M990" s="9"/>
    </row>
    <row r="991" spans="13:13" x14ac:dyDescent="0.4">
      <c r="M991" s="9"/>
    </row>
    <row r="992" spans="13:13" x14ac:dyDescent="0.4">
      <c r="M992" s="9"/>
    </row>
    <row r="993" spans="13:13" x14ac:dyDescent="0.4">
      <c r="M993" s="9"/>
    </row>
    <row r="994" spans="13:13" x14ac:dyDescent="0.4">
      <c r="M994" s="9"/>
    </row>
    <row r="995" spans="13:13" x14ac:dyDescent="0.4">
      <c r="M995" s="9"/>
    </row>
    <row r="996" spans="13:13" x14ac:dyDescent="0.4">
      <c r="M996" s="9"/>
    </row>
    <row r="997" spans="13:13" x14ac:dyDescent="0.4">
      <c r="M997" s="9"/>
    </row>
    <row r="998" spans="13:13" x14ac:dyDescent="0.4">
      <c r="M998" s="9"/>
    </row>
    <row r="999" spans="13:13" x14ac:dyDescent="0.4">
      <c r="M999" s="9"/>
    </row>
    <row r="1000" spans="13:13" x14ac:dyDescent="0.4">
      <c r="M1000" s="9"/>
    </row>
    <row r="1001" spans="13:13" x14ac:dyDescent="0.4">
      <c r="M1001" s="9"/>
    </row>
    <row r="1002" spans="13:13" x14ac:dyDescent="0.4">
      <c r="M1002" s="9"/>
    </row>
    <row r="1003" spans="13:13" x14ac:dyDescent="0.4">
      <c r="M1003" s="9"/>
    </row>
    <row r="1004" spans="13:13" x14ac:dyDescent="0.4">
      <c r="M1004" s="9"/>
    </row>
    <row r="1005" spans="13:13" x14ac:dyDescent="0.4">
      <c r="M1005" s="9"/>
    </row>
    <row r="1006" spans="13:13" x14ac:dyDescent="0.4">
      <c r="M1006" s="9"/>
    </row>
    <row r="1007" spans="13:13" x14ac:dyDescent="0.4">
      <c r="M1007" s="9"/>
    </row>
    <row r="1008" spans="13:13" x14ac:dyDescent="0.4">
      <c r="M1008" s="9"/>
    </row>
    <row r="1009" spans="13:13" x14ac:dyDescent="0.4">
      <c r="M1009" s="9"/>
    </row>
    <row r="1010" spans="13:13" x14ac:dyDescent="0.4">
      <c r="M1010" s="9"/>
    </row>
    <row r="1011" spans="13:13" x14ac:dyDescent="0.4">
      <c r="M1011" s="9"/>
    </row>
    <row r="1012" spans="13:13" x14ac:dyDescent="0.4">
      <c r="M1012" s="9"/>
    </row>
    <row r="1013" spans="13:13" x14ac:dyDescent="0.4">
      <c r="M1013" s="9"/>
    </row>
    <row r="1014" spans="13:13" x14ac:dyDescent="0.4">
      <c r="M1014" s="9"/>
    </row>
    <row r="1015" spans="13:13" x14ac:dyDescent="0.4">
      <c r="M1015" s="9"/>
    </row>
    <row r="1016" spans="13:13" x14ac:dyDescent="0.4">
      <c r="M1016" s="9"/>
    </row>
    <row r="1017" spans="13:13" x14ac:dyDescent="0.4">
      <c r="M1017" s="9"/>
    </row>
    <row r="1018" spans="13:13" x14ac:dyDescent="0.4">
      <c r="M1018" s="9"/>
    </row>
    <row r="1019" spans="13:13" x14ac:dyDescent="0.4">
      <c r="M1019" s="9"/>
    </row>
    <row r="1020" spans="13:13" x14ac:dyDescent="0.4">
      <c r="M1020" s="9"/>
    </row>
    <row r="1021" spans="13:13" x14ac:dyDescent="0.4">
      <c r="M1021" s="9"/>
    </row>
    <row r="1022" spans="13:13" x14ac:dyDescent="0.4">
      <c r="M1022" s="9"/>
    </row>
    <row r="1023" spans="13:13" x14ac:dyDescent="0.4">
      <c r="M1023" s="9"/>
    </row>
    <row r="1024" spans="13:13" x14ac:dyDescent="0.4">
      <c r="M1024" s="9"/>
    </row>
    <row r="1025" spans="13:13" x14ac:dyDescent="0.4">
      <c r="M1025" s="9"/>
    </row>
    <row r="1026" spans="13:13" x14ac:dyDescent="0.4">
      <c r="M1026" s="9"/>
    </row>
    <row r="1027" spans="13:13" x14ac:dyDescent="0.4">
      <c r="M1027" s="9"/>
    </row>
    <row r="1028" spans="13:13" x14ac:dyDescent="0.4">
      <c r="M1028" s="9"/>
    </row>
    <row r="1029" spans="13:13" x14ac:dyDescent="0.4">
      <c r="M1029" s="9"/>
    </row>
    <row r="1030" spans="13:13" x14ac:dyDescent="0.4">
      <c r="M1030" s="9"/>
    </row>
    <row r="1031" spans="13:13" x14ac:dyDescent="0.4">
      <c r="M1031" s="9"/>
    </row>
    <row r="1032" spans="13:13" x14ac:dyDescent="0.4">
      <c r="M1032" s="9"/>
    </row>
    <row r="1033" spans="13:13" x14ac:dyDescent="0.4">
      <c r="M1033" s="9"/>
    </row>
    <row r="1034" spans="13:13" x14ac:dyDescent="0.4">
      <c r="M1034" s="9"/>
    </row>
    <row r="1035" spans="13:13" x14ac:dyDescent="0.4">
      <c r="M1035" s="9"/>
    </row>
    <row r="1036" spans="13:13" x14ac:dyDescent="0.4">
      <c r="M1036" s="9"/>
    </row>
    <row r="1037" spans="13:13" x14ac:dyDescent="0.4">
      <c r="M1037" s="9"/>
    </row>
    <row r="1038" spans="13:13" x14ac:dyDescent="0.4">
      <c r="M1038" s="9"/>
    </row>
    <row r="1039" spans="13:13" x14ac:dyDescent="0.4">
      <c r="M1039" s="9"/>
    </row>
    <row r="1040" spans="13:13" x14ac:dyDescent="0.4">
      <c r="M1040" s="9"/>
    </row>
    <row r="1041" spans="13:13" x14ac:dyDescent="0.4">
      <c r="M1041" s="9"/>
    </row>
    <row r="1042" spans="13:13" x14ac:dyDescent="0.4">
      <c r="M1042" s="9"/>
    </row>
    <row r="1043" spans="13:13" x14ac:dyDescent="0.4">
      <c r="M1043" s="9"/>
    </row>
    <row r="1044" spans="13:13" x14ac:dyDescent="0.4">
      <c r="M1044" s="9"/>
    </row>
    <row r="1045" spans="13:13" x14ac:dyDescent="0.4">
      <c r="M1045" s="9"/>
    </row>
    <row r="1046" spans="13:13" x14ac:dyDescent="0.4">
      <c r="M1046" s="9"/>
    </row>
    <row r="1047" spans="13:13" x14ac:dyDescent="0.4">
      <c r="M1047" s="9"/>
    </row>
    <row r="1048" spans="13:13" x14ac:dyDescent="0.4">
      <c r="M1048" s="9"/>
    </row>
    <row r="1049" spans="13:13" x14ac:dyDescent="0.4">
      <c r="M1049" s="9"/>
    </row>
    <row r="1050" spans="13:13" x14ac:dyDescent="0.4">
      <c r="M1050" s="9"/>
    </row>
    <row r="1051" spans="13:13" x14ac:dyDescent="0.4">
      <c r="M1051" s="9"/>
    </row>
    <row r="1052" spans="13:13" x14ac:dyDescent="0.4">
      <c r="M1052" s="9"/>
    </row>
    <row r="1053" spans="13:13" x14ac:dyDescent="0.4">
      <c r="M1053" s="9"/>
    </row>
    <row r="1054" spans="13:13" x14ac:dyDescent="0.4">
      <c r="M1054" s="9"/>
    </row>
    <row r="1055" spans="13:13" x14ac:dyDescent="0.4">
      <c r="M1055" s="9"/>
    </row>
    <row r="1056" spans="13:13" x14ac:dyDescent="0.4">
      <c r="M1056" s="9"/>
    </row>
    <row r="1057" spans="13:13" x14ac:dyDescent="0.4">
      <c r="M1057" s="9"/>
    </row>
    <row r="1058" spans="13:13" x14ac:dyDescent="0.4">
      <c r="M1058" s="9"/>
    </row>
    <row r="1059" spans="13:13" x14ac:dyDescent="0.4">
      <c r="M1059" s="9"/>
    </row>
    <row r="1060" spans="13:13" x14ac:dyDescent="0.4">
      <c r="M1060" s="9"/>
    </row>
    <row r="1061" spans="13:13" x14ac:dyDescent="0.4">
      <c r="M1061" s="9"/>
    </row>
    <row r="1062" spans="13:13" x14ac:dyDescent="0.4">
      <c r="M1062" s="9"/>
    </row>
    <row r="1063" spans="13:13" x14ac:dyDescent="0.4">
      <c r="M1063" s="9"/>
    </row>
    <row r="1064" spans="13:13" x14ac:dyDescent="0.4">
      <c r="M1064" s="9"/>
    </row>
    <row r="1065" spans="13:13" x14ac:dyDescent="0.4">
      <c r="M1065" s="9"/>
    </row>
    <row r="1066" spans="13:13" x14ac:dyDescent="0.4">
      <c r="M1066" s="9"/>
    </row>
    <row r="1067" spans="13:13" x14ac:dyDescent="0.4">
      <c r="M1067" s="9"/>
    </row>
    <row r="1068" spans="13:13" x14ac:dyDescent="0.4">
      <c r="M1068" s="9"/>
    </row>
    <row r="1069" spans="13:13" x14ac:dyDescent="0.4">
      <c r="M1069" s="9"/>
    </row>
    <row r="1070" spans="13:13" x14ac:dyDescent="0.4">
      <c r="M1070" s="9"/>
    </row>
    <row r="1071" spans="13:13" x14ac:dyDescent="0.4">
      <c r="M1071" s="9"/>
    </row>
    <row r="1072" spans="13:13" x14ac:dyDescent="0.4">
      <c r="M1072" s="9"/>
    </row>
    <row r="1073" spans="13:13" x14ac:dyDescent="0.4">
      <c r="M1073" s="9"/>
    </row>
    <row r="1074" spans="13:13" x14ac:dyDescent="0.4">
      <c r="M1074" s="9"/>
    </row>
    <row r="1075" spans="13:13" x14ac:dyDescent="0.4">
      <c r="M1075" s="9"/>
    </row>
    <row r="1076" spans="13:13" x14ac:dyDescent="0.4">
      <c r="M1076" s="9"/>
    </row>
    <row r="1077" spans="13:13" x14ac:dyDescent="0.4">
      <c r="M1077" s="9"/>
    </row>
    <row r="1078" spans="13:13" x14ac:dyDescent="0.4">
      <c r="M1078" s="9"/>
    </row>
    <row r="1079" spans="13:13" x14ac:dyDescent="0.4">
      <c r="M1079" s="9"/>
    </row>
    <row r="1080" spans="13:13" x14ac:dyDescent="0.4">
      <c r="M1080" s="9"/>
    </row>
    <row r="1081" spans="13:13" x14ac:dyDescent="0.4">
      <c r="M1081" s="9"/>
    </row>
    <row r="1082" spans="13:13" x14ac:dyDescent="0.4">
      <c r="M1082" s="9"/>
    </row>
    <row r="1083" spans="13:13" x14ac:dyDescent="0.4">
      <c r="M1083" s="9"/>
    </row>
    <row r="1084" spans="13:13" x14ac:dyDescent="0.4">
      <c r="M1084" s="9"/>
    </row>
    <row r="1085" spans="13:13" x14ac:dyDescent="0.4">
      <c r="M1085" s="9"/>
    </row>
    <row r="1086" spans="13:13" x14ac:dyDescent="0.4">
      <c r="M1086" s="9"/>
    </row>
    <row r="1087" spans="13:13" x14ac:dyDescent="0.4">
      <c r="M1087" s="9"/>
    </row>
    <row r="1088" spans="13:13" x14ac:dyDescent="0.4">
      <c r="M1088" s="9"/>
    </row>
    <row r="1089" spans="13:13" x14ac:dyDescent="0.4">
      <c r="M1089" s="9"/>
    </row>
    <row r="1090" spans="13:13" x14ac:dyDescent="0.4">
      <c r="M1090" s="9"/>
    </row>
    <row r="1091" spans="13:13" x14ac:dyDescent="0.4">
      <c r="M1091" s="9"/>
    </row>
    <row r="1092" spans="13:13" x14ac:dyDescent="0.4">
      <c r="M1092" s="9"/>
    </row>
    <row r="1093" spans="13:13" x14ac:dyDescent="0.4">
      <c r="M1093" s="9"/>
    </row>
    <row r="1094" spans="13:13" x14ac:dyDescent="0.4">
      <c r="M1094" s="9"/>
    </row>
    <row r="1095" spans="13:13" x14ac:dyDescent="0.4">
      <c r="M1095" s="9"/>
    </row>
    <row r="1096" spans="13:13" x14ac:dyDescent="0.4">
      <c r="M1096" s="9"/>
    </row>
    <row r="1097" spans="13:13" x14ac:dyDescent="0.4">
      <c r="M1097" s="9"/>
    </row>
    <row r="1098" spans="13:13" x14ac:dyDescent="0.4">
      <c r="M1098" s="9"/>
    </row>
    <row r="1099" spans="13:13" x14ac:dyDescent="0.4">
      <c r="M1099" s="9"/>
    </row>
    <row r="1100" spans="13:13" x14ac:dyDescent="0.4">
      <c r="M1100" s="9"/>
    </row>
    <row r="1101" spans="13:13" x14ac:dyDescent="0.4">
      <c r="M1101" s="9"/>
    </row>
    <row r="1102" spans="13:13" x14ac:dyDescent="0.4">
      <c r="M1102" s="9"/>
    </row>
    <row r="1103" spans="13:13" x14ac:dyDescent="0.4">
      <c r="M1103" s="9"/>
    </row>
    <row r="1104" spans="13:13" x14ac:dyDescent="0.4">
      <c r="M1104" s="9"/>
    </row>
    <row r="1105" spans="13:13" x14ac:dyDescent="0.4">
      <c r="M1105" s="9"/>
    </row>
    <row r="1106" spans="13:13" x14ac:dyDescent="0.4">
      <c r="M1106" s="9"/>
    </row>
    <row r="1107" spans="13:13" x14ac:dyDescent="0.4">
      <c r="M1107" s="9"/>
    </row>
    <row r="1108" spans="13:13" x14ac:dyDescent="0.4">
      <c r="M1108" s="9"/>
    </row>
    <row r="1109" spans="13:13" x14ac:dyDescent="0.4">
      <c r="M1109" s="9"/>
    </row>
    <row r="1110" spans="13:13" x14ac:dyDescent="0.4">
      <c r="M1110" s="9"/>
    </row>
    <row r="1111" spans="13:13" x14ac:dyDescent="0.4">
      <c r="M1111" s="9"/>
    </row>
    <row r="1112" spans="13:13" x14ac:dyDescent="0.4">
      <c r="M1112" s="9"/>
    </row>
    <row r="1113" spans="13:13" x14ac:dyDescent="0.4">
      <c r="M1113" s="9"/>
    </row>
    <row r="1114" spans="13:13" x14ac:dyDescent="0.4">
      <c r="M1114" s="9"/>
    </row>
    <row r="1115" spans="13:13" x14ac:dyDescent="0.4">
      <c r="M1115" s="9"/>
    </row>
    <row r="1116" spans="13:13" x14ac:dyDescent="0.4">
      <c r="M1116" s="9"/>
    </row>
    <row r="1117" spans="13:13" x14ac:dyDescent="0.4">
      <c r="M1117" s="9"/>
    </row>
    <row r="1118" spans="13:13" x14ac:dyDescent="0.4">
      <c r="M1118" s="9"/>
    </row>
    <row r="1119" spans="13:13" x14ac:dyDescent="0.4">
      <c r="M1119" s="9"/>
    </row>
    <row r="1120" spans="13:13" x14ac:dyDescent="0.4">
      <c r="M1120" s="9"/>
    </row>
    <row r="1121" spans="13:13" x14ac:dyDescent="0.4">
      <c r="M1121" s="9"/>
    </row>
    <row r="1122" spans="13:13" x14ac:dyDescent="0.4">
      <c r="M1122" s="9"/>
    </row>
    <row r="1123" spans="13:13" x14ac:dyDescent="0.4">
      <c r="M1123" s="9"/>
    </row>
    <row r="1124" spans="13:13" x14ac:dyDescent="0.4">
      <c r="M1124" s="9"/>
    </row>
    <row r="1125" spans="13:13" x14ac:dyDescent="0.4">
      <c r="M1125" s="9"/>
    </row>
    <row r="1126" spans="13:13" x14ac:dyDescent="0.4">
      <c r="M1126" s="9"/>
    </row>
    <row r="1127" spans="13:13" x14ac:dyDescent="0.4">
      <c r="M1127" s="9"/>
    </row>
    <row r="1128" spans="13:13" x14ac:dyDescent="0.4">
      <c r="M1128" s="9"/>
    </row>
    <row r="1129" spans="13:13" x14ac:dyDescent="0.4">
      <c r="M1129" s="9"/>
    </row>
    <row r="1130" spans="13:13" x14ac:dyDescent="0.4">
      <c r="M1130" s="9"/>
    </row>
    <row r="1131" spans="13:13" x14ac:dyDescent="0.4">
      <c r="M1131" s="9"/>
    </row>
    <row r="1132" spans="13:13" x14ac:dyDescent="0.4">
      <c r="M1132" s="9"/>
    </row>
    <row r="1133" spans="13:13" x14ac:dyDescent="0.4">
      <c r="M1133" s="9"/>
    </row>
    <row r="1134" spans="13:13" x14ac:dyDescent="0.4">
      <c r="M1134" s="9"/>
    </row>
    <row r="1135" spans="13:13" x14ac:dyDescent="0.4">
      <c r="M1135" s="9"/>
    </row>
    <row r="1136" spans="13:13" x14ac:dyDescent="0.4">
      <c r="M1136" s="9"/>
    </row>
    <row r="1137" spans="13:13" x14ac:dyDescent="0.4">
      <c r="M1137" s="9"/>
    </row>
    <row r="1138" spans="13:13" x14ac:dyDescent="0.4">
      <c r="M1138" s="9"/>
    </row>
    <row r="1139" spans="13:13" x14ac:dyDescent="0.4">
      <c r="M1139" s="9"/>
    </row>
    <row r="1140" spans="13:13" x14ac:dyDescent="0.4">
      <c r="M1140" s="9"/>
    </row>
    <row r="1141" spans="13:13" x14ac:dyDescent="0.4">
      <c r="M1141" s="9"/>
    </row>
    <row r="1142" spans="13:13" x14ac:dyDescent="0.4">
      <c r="M1142" s="9"/>
    </row>
    <row r="1143" spans="13:13" x14ac:dyDescent="0.4">
      <c r="M1143" s="9"/>
    </row>
    <row r="1144" spans="13:13" x14ac:dyDescent="0.4">
      <c r="M1144" s="9"/>
    </row>
    <row r="1145" spans="13:13" x14ac:dyDescent="0.4">
      <c r="M1145" s="9"/>
    </row>
    <row r="1146" spans="13:13" x14ac:dyDescent="0.4">
      <c r="M1146" s="9"/>
    </row>
    <row r="1147" spans="13:13" x14ac:dyDescent="0.4">
      <c r="M1147" s="9"/>
    </row>
    <row r="1148" spans="13:13" x14ac:dyDescent="0.4">
      <c r="M1148" s="9"/>
    </row>
    <row r="1149" spans="13:13" x14ac:dyDescent="0.4">
      <c r="M1149" s="9"/>
    </row>
    <row r="1150" spans="13:13" x14ac:dyDescent="0.4">
      <c r="M1150" s="9"/>
    </row>
    <row r="1151" spans="13:13" x14ac:dyDescent="0.4">
      <c r="M1151" s="9"/>
    </row>
    <row r="1152" spans="13:13" x14ac:dyDescent="0.4">
      <c r="M1152" s="9"/>
    </row>
    <row r="1153" spans="13:13" x14ac:dyDescent="0.4">
      <c r="M1153" s="9"/>
    </row>
    <row r="1154" spans="13:13" x14ac:dyDescent="0.4">
      <c r="M1154" s="9"/>
    </row>
    <row r="1155" spans="13:13" x14ac:dyDescent="0.4">
      <c r="M1155" s="9"/>
    </row>
    <row r="1156" spans="13:13" x14ac:dyDescent="0.4">
      <c r="M1156" s="9"/>
    </row>
    <row r="1157" spans="13:13" x14ac:dyDescent="0.4">
      <c r="M1157" s="9"/>
    </row>
    <row r="1158" spans="13:13" x14ac:dyDescent="0.4">
      <c r="M1158" s="9"/>
    </row>
    <row r="1159" spans="13:13" x14ac:dyDescent="0.4">
      <c r="M1159" s="9"/>
    </row>
    <row r="1160" spans="13:13" x14ac:dyDescent="0.4">
      <c r="M1160" s="9"/>
    </row>
    <row r="1161" spans="13:13" x14ac:dyDescent="0.4">
      <c r="M1161" s="9"/>
    </row>
    <row r="1162" spans="13:13" x14ac:dyDescent="0.4">
      <c r="M1162" s="9"/>
    </row>
    <row r="1163" spans="13:13" x14ac:dyDescent="0.4">
      <c r="M1163" s="9"/>
    </row>
    <row r="1164" spans="13:13" x14ac:dyDescent="0.4">
      <c r="M1164" s="9"/>
    </row>
    <row r="1165" spans="13:13" x14ac:dyDescent="0.4">
      <c r="M1165" s="9"/>
    </row>
    <row r="1166" spans="13:13" x14ac:dyDescent="0.4">
      <c r="M1166" s="9"/>
    </row>
    <row r="1167" spans="13:13" x14ac:dyDescent="0.4">
      <c r="M1167" s="9"/>
    </row>
    <row r="1168" spans="13:13" x14ac:dyDescent="0.4">
      <c r="M1168" s="9"/>
    </row>
    <row r="1169" spans="13:13" x14ac:dyDescent="0.4">
      <c r="M1169" s="9"/>
    </row>
    <row r="1170" spans="13:13" x14ac:dyDescent="0.4">
      <c r="M1170" s="9"/>
    </row>
    <row r="1171" spans="13:13" x14ac:dyDescent="0.4">
      <c r="M1171" s="9"/>
    </row>
    <row r="1172" spans="13:13" x14ac:dyDescent="0.4">
      <c r="M1172" s="9"/>
    </row>
    <row r="1173" spans="13:13" x14ac:dyDescent="0.4">
      <c r="M1173" s="9"/>
    </row>
    <row r="1174" spans="13:13" x14ac:dyDescent="0.4">
      <c r="M1174" s="9"/>
    </row>
    <row r="1175" spans="13:13" x14ac:dyDescent="0.4">
      <c r="M1175" s="9"/>
    </row>
    <row r="1176" spans="13:13" x14ac:dyDescent="0.4">
      <c r="M1176" s="9"/>
    </row>
    <row r="1177" spans="13:13" x14ac:dyDescent="0.4">
      <c r="M1177" s="9"/>
    </row>
    <row r="1178" spans="13:13" x14ac:dyDescent="0.4">
      <c r="M1178" s="9"/>
    </row>
    <row r="1179" spans="13:13" x14ac:dyDescent="0.4">
      <c r="M1179" s="9"/>
    </row>
    <row r="1180" spans="13:13" x14ac:dyDescent="0.4">
      <c r="M1180" s="9"/>
    </row>
    <row r="1181" spans="13:13" x14ac:dyDescent="0.4">
      <c r="M1181" s="9"/>
    </row>
    <row r="1182" spans="13:13" x14ac:dyDescent="0.4">
      <c r="M1182" s="9"/>
    </row>
    <row r="1183" spans="13:13" x14ac:dyDescent="0.4">
      <c r="M1183" s="9"/>
    </row>
    <row r="1184" spans="13:13" x14ac:dyDescent="0.4">
      <c r="M1184" s="9"/>
    </row>
    <row r="1185" spans="13:13" x14ac:dyDescent="0.4">
      <c r="M1185" s="9"/>
    </row>
    <row r="1186" spans="13:13" x14ac:dyDescent="0.4">
      <c r="M1186" s="9"/>
    </row>
    <row r="1187" spans="13:13" x14ac:dyDescent="0.4">
      <c r="M1187" s="9"/>
    </row>
    <row r="1188" spans="13:13" x14ac:dyDescent="0.4">
      <c r="M1188" s="9"/>
    </row>
    <row r="1189" spans="13:13" x14ac:dyDescent="0.4">
      <c r="M1189" s="9"/>
    </row>
    <row r="1190" spans="13:13" x14ac:dyDescent="0.4">
      <c r="M1190" s="9"/>
    </row>
    <row r="1191" spans="13:13" x14ac:dyDescent="0.4">
      <c r="M1191" s="9"/>
    </row>
    <row r="1192" spans="13:13" x14ac:dyDescent="0.4">
      <c r="M1192" s="9"/>
    </row>
    <row r="1193" spans="13:13" x14ac:dyDescent="0.4">
      <c r="M1193" s="9"/>
    </row>
    <row r="1194" spans="13:13" x14ac:dyDescent="0.4">
      <c r="M1194" s="9"/>
    </row>
    <row r="1195" spans="13:13" x14ac:dyDescent="0.4">
      <c r="M1195" s="9"/>
    </row>
  </sheetData>
  <phoneticPr fontId="2"/>
  <conditionalFormatting sqref="P3:P256 P262:P462">
    <cfRule type="containsText" dxfId="13" priority="2" operator="containsText" text="勝">
      <formula>NOT(ISERROR(SEARCH("勝",P3)))</formula>
    </cfRule>
  </conditionalFormatting>
  <conditionalFormatting sqref="P257:P261">
    <cfRule type="containsText" dxfId="12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J59:M462 H60:H462 I63:I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T12" sqref="T12"/>
    </sheetView>
  </sheetViews>
  <sheetFormatPr defaultRowHeight="18.75" x14ac:dyDescent="0.4"/>
  <cols>
    <col min="2" max="2" width="26" bestFit="1" customWidth="1"/>
    <col min="3" max="3" width="7.625" bestFit="1" customWidth="1"/>
    <col min="7" max="13" width="10.625" customWidth="1"/>
    <col min="14" max="14" width="5" style="27" bestFit="1" customWidth="1"/>
    <col min="15" max="15" width="9.125" style="27" bestFit="1" customWidth="1"/>
    <col min="16" max="18" width="5" style="27" bestFit="1" customWidth="1"/>
    <col min="19" max="19" width="6.375" style="27" bestFit="1" customWidth="1"/>
    <col min="20" max="20" width="6.75" style="27" bestFit="1" customWidth="1"/>
    <col min="21" max="21" width="5.625" style="27" bestFit="1" customWidth="1"/>
    <col min="22" max="22" width="5" style="27" bestFit="1" customWidth="1"/>
    <col min="23" max="23" width="7.875" style="27" bestFit="1" customWidth="1"/>
    <col min="24" max="24" width="5.625" style="27" bestFit="1" customWidth="1"/>
    <col min="25" max="25" width="6.375" style="27" bestFit="1" customWidth="1"/>
    <col min="26" max="26" width="6.75" style="27" bestFit="1" customWidth="1"/>
    <col min="27" max="27" width="6.375" style="27" bestFit="1" customWidth="1"/>
    <col min="28" max="28" width="9" style="27" bestFit="1" customWidth="1"/>
    <col min="29" max="30" width="8" style="27" bestFit="1" customWidth="1"/>
    <col min="31" max="31" width="4.625" style="28" bestFit="1" customWidth="1"/>
  </cols>
  <sheetData>
    <row r="1" spans="1:31" ht="31.9" customHeight="1" x14ac:dyDescent="0.4">
      <c r="A1" s="7" t="s">
        <v>7</v>
      </c>
      <c r="B1" s="4" t="s">
        <v>99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6" t="s">
        <v>88</v>
      </c>
      <c r="I1" s="5" t="s">
        <v>89</v>
      </c>
      <c r="J1" s="5" t="s">
        <v>90</v>
      </c>
      <c r="K1" s="5" t="s">
        <v>91</v>
      </c>
      <c r="L1" s="5" t="s">
        <v>92</v>
      </c>
      <c r="M1" s="6" t="s">
        <v>93</v>
      </c>
      <c r="N1" s="26" t="s">
        <v>24</v>
      </c>
      <c r="O1" s="26" t="s">
        <v>25</v>
      </c>
      <c r="P1" s="26" t="s">
        <v>26</v>
      </c>
      <c r="Q1" s="26" t="s">
        <v>27</v>
      </c>
      <c r="R1" s="26" t="s">
        <v>28</v>
      </c>
      <c r="S1" s="26" t="s">
        <v>29</v>
      </c>
      <c r="T1" s="26" t="s">
        <v>30</v>
      </c>
      <c r="U1" s="26" t="s">
        <v>31</v>
      </c>
      <c r="V1" s="26" t="s">
        <v>32</v>
      </c>
      <c r="W1" s="26" t="s">
        <v>33</v>
      </c>
      <c r="X1" s="26" t="s">
        <v>34</v>
      </c>
      <c r="Y1" s="26" t="s">
        <v>35</v>
      </c>
      <c r="Z1" s="26" t="s">
        <v>36</v>
      </c>
      <c r="AA1" s="26" t="s">
        <v>37</v>
      </c>
      <c r="AB1" s="26" t="s">
        <v>39</v>
      </c>
      <c r="AC1" s="26" t="s">
        <v>76</v>
      </c>
      <c r="AD1" s="26" t="s">
        <v>77</v>
      </c>
      <c r="AE1" s="26" t="s">
        <v>38</v>
      </c>
    </row>
    <row r="2" spans="1:31" x14ac:dyDescent="0.4">
      <c r="A2">
        <v>1</v>
      </c>
      <c r="B2" t="s">
        <v>5</v>
      </c>
      <c r="C2" s="1">
        <v>3232</v>
      </c>
      <c r="D2" s="1">
        <v>3</v>
      </c>
      <c r="E2" s="1">
        <v>9</v>
      </c>
      <c r="F2" s="1">
        <v>8</v>
      </c>
      <c r="G2" s="2" t="s">
        <v>80</v>
      </c>
      <c r="H2" s="2" t="s">
        <v>81</v>
      </c>
      <c r="I2" s="2" t="s">
        <v>82</v>
      </c>
      <c r="J2" s="2" t="s">
        <v>94</v>
      </c>
      <c r="K2" s="2" t="s">
        <v>96</v>
      </c>
      <c r="L2" s="2" t="s">
        <v>97</v>
      </c>
      <c r="M2" s="2" t="s">
        <v>98</v>
      </c>
      <c r="N2" s="29" t="s">
        <v>64</v>
      </c>
      <c r="O2" s="28" t="s">
        <v>42</v>
      </c>
      <c r="P2" s="31" t="s">
        <v>65</v>
      </c>
      <c r="Q2" s="28" t="s">
        <v>44</v>
      </c>
      <c r="R2" s="29" t="s">
        <v>66</v>
      </c>
      <c r="S2" s="29" t="s">
        <v>67</v>
      </c>
      <c r="T2" s="28" t="s">
        <v>46</v>
      </c>
      <c r="U2" s="28" t="s">
        <v>54</v>
      </c>
      <c r="V2" s="29" t="s">
        <v>68</v>
      </c>
      <c r="W2" s="29" t="s">
        <v>47</v>
      </c>
      <c r="X2" s="31" t="s">
        <v>75</v>
      </c>
      <c r="Y2" s="29" t="s">
        <v>72</v>
      </c>
      <c r="Z2" s="29" t="s">
        <v>73</v>
      </c>
      <c r="AA2" s="29" t="s">
        <v>71</v>
      </c>
      <c r="AB2" s="29" t="s">
        <v>59</v>
      </c>
      <c r="AC2" s="31" t="s">
        <v>79</v>
      </c>
      <c r="AD2" s="29" t="s">
        <v>74</v>
      </c>
      <c r="AE2" s="30" t="s">
        <v>69</v>
      </c>
    </row>
    <row r="3" spans="1:31" x14ac:dyDescent="0.4">
      <c r="A3">
        <v>2</v>
      </c>
      <c r="B3" t="s">
        <v>3</v>
      </c>
      <c r="C3" s="3">
        <v>5212</v>
      </c>
      <c r="D3" s="1">
        <v>5</v>
      </c>
      <c r="E3" s="1">
        <v>6</v>
      </c>
      <c r="F3" s="1">
        <v>9</v>
      </c>
      <c r="G3" s="2" t="s">
        <v>80</v>
      </c>
      <c r="H3" s="2" t="s">
        <v>81</v>
      </c>
      <c r="I3" s="2" t="s">
        <v>82</v>
      </c>
      <c r="J3" s="2" t="s">
        <v>94</v>
      </c>
      <c r="K3" s="2" t="s">
        <v>96</v>
      </c>
      <c r="L3" s="2" t="s">
        <v>82</v>
      </c>
      <c r="M3" s="2" t="s">
        <v>98</v>
      </c>
      <c r="N3" s="29" t="s">
        <v>64</v>
      </c>
      <c r="O3" s="28" t="s">
        <v>42</v>
      </c>
      <c r="P3" s="31" t="s">
        <v>65</v>
      </c>
      <c r="Q3" s="28" t="s">
        <v>44</v>
      </c>
      <c r="R3" s="29" t="s">
        <v>66</v>
      </c>
      <c r="S3" s="29" t="s">
        <v>67</v>
      </c>
      <c r="T3" s="28" t="s">
        <v>46</v>
      </c>
      <c r="U3" s="28" t="s">
        <v>54</v>
      </c>
      <c r="V3" s="29" t="s">
        <v>68</v>
      </c>
      <c r="W3" s="29" t="s">
        <v>47</v>
      </c>
      <c r="X3" s="31" t="s">
        <v>53</v>
      </c>
      <c r="Y3" s="29" t="s">
        <v>72</v>
      </c>
      <c r="Z3" s="29" t="s">
        <v>73</v>
      </c>
      <c r="AA3" s="29" t="s">
        <v>71</v>
      </c>
      <c r="AB3" s="29" t="s">
        <v>59</v>
      </c>
      <c r="AC3" s="31" t="s">
        <v>79</v>
      </c>
      <c r="AD3" s="29" t="s">
        <v>74</v>
      </c>
      <c r="AE3" s="30" t="s">
        <v>69</v>
      </c>
    </row>
    <row r="4" spans="1:31" x14ac:dyDescent="0.4">
      <c r="A4">
        <v>3</v>
      </c>
      <c r="B4" t="s">
        <v>4</v>
      </c>
      <c r="C4" s="1">
        <v>5212</v>
      </c>
      <c r="D4" s="1">
        <v>4</v>
      </c>
      <c r="E4" s="1">
        <v>5</v>
      </c>
      <c r="F4" s="1">
        <v>4</v>
      </c>
      <c r="G4" s="2" t="s">
        <v>80</v>
      </c>
      <c r="H4" s="2" t="s">
        <v>81</v>
      </c>
      <c r="I4" s="2" t="s">
        <v>82</v>
      </c>
      <c r="J4" s="2" t="s">
        <v>94</v>
      </c>
      <c r="K4" s="2" t="s">
        <v>95</v>
      </c>
      <c r="L4" s="2" t="s">
        <v>82</v>
      </c>
      <c r="M4" s="2" t="s">
        <v>98</v>
      </c>
      <c r="N4" s="29" t="s">
        <v>64</v>
      </c>
      <c r="O4" s="28" t="s">
        <v>42</v>
      </c>
      <c r="P4" s="31" t="s">
        <v>65</v>
      </c>
      <c r="Q4" s="28" t="s">
        <v>44</v>
      </c>
      <c r="R4" s="29" t="s">
        <v>66</v>
      </c>
      <c r="S4" s="29" t="s">
        <v>67</v>
      </c>
      <c r="T4" s="28" t="s">
        <v>46</v>
      </c>
      <c r="U4" s="28" t="s">
        <v>54</v>
      </c>
      <c r="V4" s="29" t="s">
        <v>68</v>
      </c>
      <c r="W4" s="29" t="s">
        <v>47</v>
      </c>
      <c r="X4" s="31" t="s">
        <v>53</v>
      </c>
      <c r="Y4" s="29" t="s">
        <v>72</v>
      </c>
      <c r="Z4" s="29" t="s">
        <v>73</v>
      </c>
      <c r="AA4" s="29" t="s">
        <v>71</v>
      </c>
      <c r="AB4" s="29" t="s">
        <v>59</v>
      </c>
      <c r="AC4" s="31" t="s">
        <v>79</v>
      </c>
      <c r="AD4" s="29" t="s">
        <v>74</v>
      </c>
      <c r="AE4" s="30" t="s">
        <v>69</v>
      </c>
    </row>
    <row r="5" spans="1:31" x14ac:dyDescent="0.4">
      <c r="A5">
        <v>4</v>
      </c>
      <c r="B5" t="s">
        <v>8</v>
      </c>
      <c r="C5" s="1">
        <v>3142</v>
      </c>
      <c r="D5" s="1">
        <v>4</v>
      </c>
      <c r="E5" s="1">
        <v>7</v>
      </c>
      <c r="F5" s="1">
        <v>5</v>
      </c>
      <c r="G5" s="2" t="s">
        <v>80</v>
      </c>
      <c r="H5" s="2" t="s">
        <v>81</v>
      </c>
      <c r="I5" s="2" t="s">
        <v>82</v>
      </c>
      <c r="J5" s="2" t="s">
        <v>94</v>
      </c>
      <c r="K5" s="2" t="s">
        <v>96</v>
      </c>
      <c r="L5" s="2" t="s">
        <v>82</v>
      </c>
      <c r="M5" s="2" t="s">
        <v>98</v>
      </c>
      <c r="N5" s="29" t="s">
        <v>64</v>
      </c>
      <c r="O5" s="28" t="s">
        <v>42</v>
      </c>
      <c r="P5" s="31" t="s">
        <v>65</v>
      </c>
      <c r="Q5" s="28" t="s">
        <v>44</v>
      </c>
      <c r="R5" s="29" t="s">
        <v>66</v>
      </c>
      <c r="S5" s="29" t="s">
        <v>67</v>
      </c>
      <c r="T5" s="28" t="s">
        <v>46</v>
      </c>
      <c r="U5" s="28" t="s">
        <v>54</v>
      </c>
      <c r="V5" s="29" t="s">
        <v>68</v>
      </c>
      <c r="W5" s="29" t="s">
        <v>47</v>
      </c>
      <c r="X5" s="31" t="s">
        <v>53</v>
      </c>
      <c r="Y5" s="29" t="s">
        <v>72</v>
      </c>
      <c r="Z5" s="29" t="s">
        <v>73</v>
      </c>
      <c r="AA5" s="29" t="s">
        <v>71</v>
      </c>
      <c r="AB5" s="29" t="s">
        <v>59</v>
      </c>
      <c r="AC5" s="31" t="s">
        <v>79</v>
      </c>
      <c r="AD5" s="29" t="s">
        <v>74</v>
      </c>
      <c r="AE5" s="30" t="s">
        <v>69</v>
      </c>
    </row>
    <row r="6" spans="1:31" x14ac:dyDescent="0.4">
      <c r="A6">
        <v>5</v>
      </c>
      <c r="B6" t="s">
        <v>8</v>
      </c>
      <c r="C6" s="1">
        <v>3142</v>
      </c>
      <c r="D6" s="1">
        <v>4</v>
      </c>
      <c r="E6" s="1">
        <v>7</v>
      </c>
      <c r="F6" s="1">
        <v>5</v>
      </c>
      <c r="G6" s="2" t="s">
        <v>80</v>
      </c>
      <c r="H6" s="2" t="s">
        <v>81</v>
      </c>
      <c r="I6" s="2" t="s">
        <v>82</v>
      </c>
      <c r="J6" s="2" t="s">
        <v>94</v>
      </c>
      <c r="K6" s="2" t="s">
        <v>96</v>
      </c>
      <c r="L6" s="2" t="s">
        <v>82</v>
      </c>
      <c r="M6" s="2" t="s">
        <v>98</v>
      </c>
      <c r="N6" s="29" t="s">
        <v>64</v>
      </c>
      <c r="O6" s="28" t="s">
        <v>42</v>
      </c>
      <c r="P6" s="31" t="s">
        <v>57</v>
      </c>
      <c r="Q6" s="28" t="s">
        <v>44</v>
      </c>
      <c r="R6" s="29" t="s">
        <v>66</v>
      </c>
      <c r="S6" s="29" t="s">
        <v>67</v>
      </c>
      <c r="T6" s="28" t="s">
        <v>46</v>
      </c>
      <c r="U6" s="28" t="s">
        <v>54</v>
      </c>
      <c r="V6" s="29" t="s">
        <v>68</v>
      </c>
      <c r="W6" s="29" t="s">
        <v>47</v>
      </c>
      <c r="X6" s="31" t="s">
        <v>75</v>
      </c>
      <c r="Y6" s="29" t="s">
        <v>72</v>
      </c>
      <c r="Z6" s="29" t="s">
        <v>73</v>
      </c>
      <c r="AA6" s="29" t="s">
        <v>71</v>
      </c>
      <c r="AB6" s="29" t="s">
        <v>59</v>
      </c>
      <c r="AC6" s="31" t="s">
        <v>78</v>
      </c>
      <c r="AD6" s="29" t="s">
        <v>74</v>
      </c>
      <c r="AE6" s="30" t="s">
        <v>69</v>
      </c>
    </row>
    <row r="7" spans="1:31" x14ac:dyDescent="0.4">
      <c r="A7">
        <v>6</v>
      </c>
      <c r="B7" t="s">
        <v>8</v>
      </c>
      <c r="C7" s="1">
        <v>3142</v>
      </c>
      <c r="D7" s="1">
        <v>4</v>
      </c>
      <c r="E7" s="1">
        <v>7</v>
      </c>
      <c r="F7" s="1">
        <v>5</v>
      </c>
      <c r="G7" s="2" t="s">
        <v>80</v>
      </c>
      <c r="H7" s="2" t="s">
        <v>81</v>
      </c>
      <c r="I7" s="2" t="s">
        <v>82</v>
      </c>
      <c r="J7" s="2" t="s">
        <v>94</v>
      </c>
      <c r="K7" s="2" t="s">
        <v>96</v>
      </c>
      <c r="L7" s="2" t="s">
        <v>82</v>
      </c>
      <c r="M7" s="2" t="s">
        <v>98</v>
      </c>
      <c r="N7" s="29" t="s">
        <v>64</v>
      </c>
      <c r="O7" s="28" t="s">
        <v>42</v>
      </c>
      <c r="P7" s="31" t="s">
        <v>45</v>
      </c>
      <c r="Q7" s="28" t="s">
        <v>44</v>
      </c>
      <c r="R7" s="29" t="s">
        <v>66</v>
      </c>
      <c r="S7" s="31" t="s">
        <v>101</v>
      </c>
      <c r="T7" s="28" t="s">
        <v>46</v>
      </c>
      <c r="U7" s="28" t="s">
        <v>54</v>
      </c>
      <c r="V7" s="29" t="s">
        <v>68</v>
      </c>
      <c r="W7" s="29" t="s">
        <v>47</v>
      </c>
      <c r="X7" s="29" t="s">
        <v>75</v>
      </c>
      <c r="Y7" s="29" t="s">
        <v>72</v>
      </c>
      <c r="Z7" s="29" t="s">
        <v>73</v>
      </c>
      <c r="AA7" s="29" t="s">
        <v>71</v>
      </c>
      <c r="AB7" s="29" t="s">
        <v>59</v>
      </c>
      <c r="AC7" s="31" t="s">
        <v>106</v>
      </c>
      <c r="AD7" s="29" t="s">
        <v>74</v>
      </c>
      <c r="AE7" s="30" t="s">
        <v>69</v>
      </c>
    </row>
    <row r="8" spans="1:31" x14ac:dyDescent="0.4">
      <c r="A8">
        <v>7</v>
      </c>
      <c r="B8" t="s">
        <v>103</v>
      </c>
      <c r="C8" s="1">
        <v>3232</v>
      </c>
      <c r="D8" s="1">
        <v>4</v>
      </c>
      <c r="E8" s="1">
        <v>6</v>
      </c>
      <c r="F8" s="1">
        <v>8</v>
      </c>
      <c r="G8" s="2" t="s">
        <v>80</v>
      </c>
      <c r="H8" s="2" t="s">
        <v>81</v>
      </c>
      <c r="I8" s="2" t="s">
        <v>82</v>
      </c>
      <c r="J8" s="2" t="s">
        <v>94</v>
      </c>
      <c r="K8" s="2" t="s">
        <v>95</v>
      </c>
      <c r="L8" s="2" t="s">
        <v>82</v>
      </c>
      <c r="M8" s="2" t="s">
        <v>104</v>
      </c>
      <c r="N8" s="29" t="s">
        <v>64</v>
      </c>
      <c r="O8" s="28" t="s">
        <v>42</v>
      </c>
      <c r="P8" s="31" t="s">
        <v>79</v>
      </c>
      <c r="Q8" s="28" t="s">
        <v>44</v>
      </c>
      <c r="R8" s="29" t="s">
        <v>66</v>
      </c>
      <c r="S8" s="29" t="s">
        <v>67</v>
      </c>
      <c r="T8" s="28" t="s">
        <v>46</v>
      </c>
      <c r="U8" s="28" t="s">
        <v>54</v>
      </c>
      <c r="V8" s="29" t="s">
        <v>68</v>
      </c>
      <c r="W8" s="29" t="s">
        <v>47</v>
      </c>
      <c r="X8" s="29" t="s">
        <v>75</v>
      </c>
      <c r="Y8" s="29" t="s">
        <v>72</v>
      </c>
      <c r="Z8" s="29" t="s">
        <v>73</v>
      </c>
      <c r="AA8" s="29" t="s">
        <v>71</v>
      </c>
      <c r="AB8" s="29" t="s">
        <v>59</v>
      </c>
      <c r="AC8" s="29"/>
      <c r="AD8" s="29" t="s">
        <v>74</v>
      </c>
      <c r="AE8" s="30" t="s">
        <v>69</v>
      </c>
    </row>
    <row r="9" spans="1:31" x14ac:dyDescent="0.4">
      <c r="A9">
        <v>8</v>
      </c>
      <c r="B9" t="s">
        <v>8</v>
      </c>
      <c r="C9" s="1">
        <v>3142</v>
      </c>
      <c r="D9" s="1">
        <v>4</v>
      </c>
      <c r="E9" s="1">
        <v>7</v>
      </c>
      <c r="F9" s="1">
        <v>5</v>
      </c>
      <c r="G9" s="2" t="s">
        <v>80</v>
      </c>
      <c r="H9" s="2" t="s">
        <v>81</v>
      </c>
      <c r="I9" s="2" t="s">
        <v>82</v>
      </c>
      <c r="J9" s="2" t="s">
        <v>94</v>
      </c>
      <c r="K9" s="2" t="s">
        <v>96</v>
      </c>
      <c r="L9" s="2" t="s">
        <v>82</v>
      </c>
      <c r="M9" s="2" t="s">
        <v>98</v>
      </c>
      <c r="N9" s="29" t="s">
        <v>64</v>
      </c>
      <c r="O9" s="28" t="s">
        <v>42</v>
      </c>
      <c r="P9" s="31" t="s">
        <v>106</v>
      </c>
      <c r="Q9" s="28" t="s">
        <v>44</v>
      </c>
      <c r="R9" s="29" t="s">
        <v>66</v>
      </c>
      <c r="S9" s="8" t="s">
        <v>116</v>
      </c>
      <c r="T9" s="28" t="s">
        <v>46</v>
      </c>
      <c r="U9" s="28" t="s">
        <v>54</v>
      </c>
      <c r="V9" s="29" t="s">
        <v>68</v>
      </c>
      <c r="W9" s="31" t="s">
        <v>111</v>
      </c>
      <c r="X9" s="29" t="s">
        <v>75</v>
      </c>
      <c r="Y9" s="29" t="s">
        <v>72</v>
      </c>
      <c r="Z9" s="29" t="s">
        <v>73</v>
      </c>
      <c r="AA9" s="29" t="s">
        <v>71</v>
      </c>
      <c r="AB9" s="29" t="s">
        <v>59</v>
      </c>
      <c r="AC9" s="31" t="s">
        <v>79</v>
      </c>
      <c r="AD9" s="29" t="s">
        <v>74</v>
      </c>
      <c r="AE9" s="30" t="s">
        <v>69</v>
      </c>
    </row>
    <row r="10" spans="1:31" x14ac:dyDescent="0.4">
      <c r="A10">
        <v>9</v>
      </c>
      <c r="B10" t="s">
        <v>8</v>
      </c>
      <c r="C10" s="1">
        <v>3142</v>
      </c>
      <c r="D10" s="1">
        <v>4</v>
      </c>
      <c r="E10" s="1">
        <v>7</v>
      </c>
      <c r="F10" s="1">
        <v>5</v>
      </c>
      <c r="G10" s="2" t="s">
        <v>80</v>
      </c>
      <c r="H10" s="2" t="s">
        <v>81</v>
      </c>
      <c r="I10" s="2" t="s">
        <v>82</v>
      </c>
      <c r="J10" s="2" t="s">
        <v>94</v>
      </c>
      <c r="K10" s="2" t="s">
        <v>96</v>
      </c>
      <c r="L10" s="2" t="s">
        <v>82</v>
      </c>
      <c r="M10" s="2" t="s">
        <v>98</v>
      </c>
      <c r="N10" s="29" t="s">
        <v>64</v>
      </c>
      <c r="O10" s="28" t="s">
        <v>42</v>
      </c>
      <c r="P10" s="31" t="s">
        <v>45</v>
      </c>
      <c r="Q10" s="28" t="s">
        <v>44</v>
      </c>
      <c r="R10" s="29" t="s">
        <v>66</v>
      </c>
      <c r="S10" s="31" t="s">
        <v>101</v>
      </c>
      <c r="T10" s="28" t="s">
        <v>46</v>
      </c>
      <c r="U10" s="28" t="s">
        <v>54</v>
      </c>
      <c r="V10" s="29" t="s">
        <v>68</v>
      </c>
      <c r="W10" s="29" t="s">
        <v>47</v>
      </c>
      <c r="X10" s="29" t="s">
        <v>75</v>
      </c>
      <c r="Y10" s="29" t="s">
        <v>72</v>
      </c>
      <c r="Z10" s="29" t="s">
        <v>73</v>
      </c>
      <c r="AA10" s="29" t="s">
        <v>71</v>
      </c>
      <c r="AB10" s="29" t="s">
        <v>59</v>
      </c>
      <c r="AC10" s="31" t="s">
        <v>106</v>
      </c>
      <c r="AD10" s="29" t="s">
        <v>74</v>
      </c>
      <c r="AE10" s="30" t="s">
        <v>69</v>
      </c>
    </row>
    <row r="11" spans="1:31" x14ac:dyDescent="0.4">
      <c r="A11">
        <v>10</v>
      </c>
      <c r="B11" t="s">
        <v>110</v>
      </c>
      <c r="C11" s="1">
        <v>4213</v>
      </c>
      <c r="D11" s="1">
        <v>1</v>
      </c>
      <c r="E11" s="1">
        <v>9</v>
      </c>
      <c r="F11" s="1">
        <v>7</v>
      </c>
      <c r="G11" s="2" t="s">
        <v>80</v>
      </c>
      <c r="H11" s="2" t="s">
        <v>81</v>
      </c>
      <c r="I11" s="2" t="s">
        <v>82</v>
      </c>
      <c r="J11" s="2" t="s">
        <v>94</v>
      </c>
      <c r="K11" s="2" t="s">
        <v>96</v>
      </c>
      <c r="L11" s="2" t="s">
        <v>97</v>
      </c>
      <c r="M11" s="2" t="s">
        <v>98</v>
      </c>
      <c r="N11" s="29" t="s">
        <v>64</v>
      </c>
      <c r="O11" s="28" t="s">
        <v>112</v>
      </c>
      <c r="P11" s="31" t="s">
        <v>106</v>
      </c>
      <c r="Q11" s="28" t="s">
        <v>44</v>
      </c>
      <c r="R11" s="29" t="s">
        <v>66</v>
      </c>
      <c r="S11" s="29" t="s">
        <v>67</v>
      </c>
      <c r="T11" s="28" t="s">
        <v>46</v>
      </c>
      <c r="U11" s="28" t="s">
        <v>113</v>
      </c>
      <c r="V11" s="29" t="s">
        <v>68</v>
      </c>
      <c r="W11" s="29" t="s">
        <v>47</v>
      </c>
      <c r="X11" s="29" t="s">
        <v>108</v>
      </c>
      <c r="Y11" s="29" t="s">
        <v>109</v>
      </c>
      <c r="Z11" s="29" t="s">
        <v>73</v>
      </c>
      <c r="AA11" s="29" t="s">
        <v>71</v>
      </c>
      <c r="AB11" s="29" t="s">
        <v>59</v>
      </c>
      <c r="AC11" s="29" t="s">
        <v>114</v>
      </c>
      <c r="AD11" s="29" t="s">
        <v>74</v>
      </c>
      <c r="AE11" s="30" t="s">
        <v>69</v>
      </c>
    </row>
    <row r="12" spans="1:31" x14ac:dyDescent="0.4">
      <c r="A12">
        <v>11</v>
      </c>
      <c r="B12" t="s">
        <v>110</v>
      </c>
      <c r="C12" s="1">
        <v>4213</v>
      </c>
      <c r="D12" s="1">
        <v>1</v>
      </c>
      <c r="E12" s="1">
        <v>9</v>
      </c>
      <c r="F12" s="1">
        <v>7</v>
      </c>
      <c r="G12" s="2" t="s">
        <v>80</v>
      </c>
      <c r="H12" s="2" t="s">
        <v>81</v>
      </c>
      <c r="I12" s="2" t="s">
        <v>82</v>
      </c>
      <c r="J12" s="2" t="s">
        <v>94</v>
      </c>
      <c r="K12" s="2" t="s">
        <v>96</v>
      </c>
      <c r="L12" s="2" t="s">
        <v>97</v>
      </c>
      <c r="M12" s="2" t="s">
        <v>98</v>
      </c>
      <c r="N12" s="29" t="s">
        <v>64</v>
      </c>
      <c r="O12" s="28" t="s">
        <v>42</v>
      </c>
      <c r="P12" s="28" t="s">
        <v>112</v>
      </c>
      <c r="Q12" s="28" t="s">
        <v>44</v>
      </c>
      <c r="R12" s="29" t="s">
        <v>66</v>
      </c>
      <c r="S12" s="31" t="s">
        <v>75</v>
      </c>
      <c r="T12" s="28" t="s">
        <v>119</v>
      </c>
      <c r="U12" s="28" t="s">
        <v>54</v>
      </c>
      <c r="V12" s="29" t="s">
        <v>68</v>
      </c>
      <c r="W12" s="29" t="s">
        <v>47</v>
      </c>
      <c r="X12" s="29" t="s">
        <v>108</v>
      </c>
      <c r="Y12" s="29" t="s">
        <v>109</v>
      </c>
      <c r="Z12" s="29" t="s">
        <v>73</v>
      </c>
      <c r="AA12" s="29" t="s">
        <v>71</v>
      </c>
      <c r="AB12" s="29" t="s">
        <v>59</v>
      </c>
      <c r="AC12" s="31" t="s">
        <v>106</v>
      </c>
      <c r="AD12" s="29" t="s">
        <v>74</v>
      </c>
      <c r="AE12" s="30" t="s">
        <v>69</v>
      </c>
    </row>
    <row r="13" spans="1:31" x14ac:dyDescent="0.4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28"/>
      <c r="O13" s="28"/>
      <c r="P13" s="28"/>
    </row>
    <row r="14" spans="1:31" x14ac:dyDescent="0.4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28"/>
      <c r="O14" s="28"/>
      <c r="P14" s="28"/>
    </row>
    <row r="15" spans="1:31" x14ac:dyDescent="0.4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8"/>
      <c r="P15" s="28"/>
    </row>
    <row r="16" spans="1:31" x14ac:dyDescent="0.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8"/>
      <c r="O16" s="28"/>
      <c r="P16" s="28"/>
    </row>
    <row r="17" spans="4:16" x14ac:dyDescent="0.4"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8"/>
      <c r="P17" s="28"/>
    </row>
    <row r="18" spans="4:16" x14ac:dyDescent="0.4">
      <c r="D18" s="1"/>
      <c r="E18" s="1"/>
      <c r="F18" s="1"/>
      <c r="G18" s="1"/>
      <c r="H18" s="1"/>
      <c r="I18" s="1"/>
      <c r="J18" s="1"/>
      <c r="K18" s="1"/>
      <c r="L18" s="1"/>
      <c r="M18" s="1"/>
      <c r="N18" s="28"/>
      <c r="O18" s="28"/>
      <c r="P18" s="28"/>
    </row>
    <row r="19" spans="4:16" x14ac:dyDescent="0.4">
      <c r="D19" s="1"/>
      <c r="E19" s="1"/>
      <c r="F19" s="1"/>
      <c r="G19" s="1"/>
      <c r="H19" s="1"/>
      <c r="I19" s="1"/>
      <c r="J19" s="1"/>
      <c r="K19" s="1"/>
      <c r="L19" s="1"/>
      <c r="M19" s="1"/>
      <c r="N19" s="28"/>
      <c r="O19" s="28"/>
      <c r="P19" s="28"/>
    </row>
    <row r="20" spans="4:16" x14ac:dyDescent="0.4">
      <c r="D20" s="1"/>
      <c r="E20" s="1"/>
      <c r="F20" s="1"/>
      <c r="G20" s="1"/>
      <c r="H20" s="1"/>
      <c r="I20" s="1"/>
      <c r="J20" s="1"/>
      <c r="K20" s="1"/>
      <c r="L20" s="1"/>
      <c r="M20" s="1"/>
      <c r="N20" s="28"/>
      <c r="O20" s="28"/>
      <c r="P20" s="28"/>
    </row>
    <row r="21" spans="4:16" x14ac:dyDescent="0.4">
      <c r="D21" s="1"/>
      <c r="E21" s="1"/>
      <c r="F21" s="1"/>
      <c r="G21" s="1"/>
      <c r="H21" s="1"/>
      <c r="I21" s="1"/>
      <c r="J21" s="1"/>
      <c r="K21" s="1"/>
      <c r="L21" s="1"/>
      <c r="M21" s="1"/>
      <c r="N21" s="28"/>
      <c r="O21" s="28"/>
      <c r="P21" s="28"/>
    </row>
  </sheetData>
  <phoneticPr fontId="2"/>
  <conditionalFormatting sqref="D2:F5">
    <cfRule type="cellIs" dxfId="11" priority="15" operator="lessThan">
      <formula>6</formula>
    </cfRule>
    <cfRule type="cellIs" dxfId="10" priority="16" operator="greaterThan">
      <formula>5</formula>
    </cfRule>
  </conditionalFormatting>
  <conditionalFormatting sqref="D6:F6 D8:F8">
    <cfRule type="cellIs" dxfId="9" priority="11" operator="lessThan">
      <formula>6</formula>
    </cfRule>
    <cfRule type="cellIs" dxfId="8" priority="12" operator="greaterThan">
      <formula>5</formula>
    </cfRule>
  </conditionalFormatting>
  <conditionalFormatting sqref="D7:F7 D9:F9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1:F11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0:F10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2:F12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スコア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2021-11-27T07:07:33Z</dcterms:modified>
</cp:coreProperties>
</file>